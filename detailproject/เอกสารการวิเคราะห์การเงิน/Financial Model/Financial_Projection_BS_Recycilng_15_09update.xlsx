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Input" sheetId="1" r:id="rId4"/>
    <sheet state="visible" name="Scenario" sheetId="2" r:id="rId5"/>
    <sheet state="visible" name="Assumption_sheet" sheetId="3" r:id="rId6"/>
    <sheet state="hidden" name="__scenarios" sheetId="4" r:id="rId7"/>
    <sheet state="visible" name="Profit&amp;Loss" sheetId="5" r:id="rId8"/>
    <sheet state="visible" name="BalancSheet" sheetId="6" r:id="rId9"/>
    <sheet state="visible" name="CashflowStatement" sheetId="7" r:id="rId10"/>
    <sheet state="visible" name="ProjectReturn" sheetId="8" r:id="rId11"/>
    <sheet state="visible" name="Discount_Cal" sheetId="9" r:id="rId12"/>
    <sheet state="visible" name="Drepre.CAPEX" sheetId="10" r:id="rId13"/>
  </sheets>
  <definedNames/>
  <calcPr/>
  <extLst>
    <ext uri="GoogleSheetsCustomDataVersion2">
      <go:sheetsCustomData xmlns:go="http://customooxmlschemas.google.com/" r:id="rId14" roundtripDataChecksum="osiYhyehAxnm8qVfcelJ0lylL91MQsR/CSxReZZJSzM="/>
    </ext>
  </extLst>
</workbook>
</file>

<file path=xl/sharedStrings.xml><?xml version="1.0" encoding="utf-8"?>
<sst xmlns="http://schemas.openxmlformats.org/spreadsheetml/2006/main" count="840" uniqueCount="340">
  <si>
    <t xml:space="preserve">Assumption </t>
  </si>
  <si>
    <t>A) Cullet  (K.8)</t>
  </si>
  <si>
    <t>Cullet (K.8)</t>
  </si>
  <si>
    <t>Targeted cullet supply : BGC cullet ratio target @80% in 3years ref. 2022 sustainability report ; growth 3-4% CAGR</t>
  </si>
  <si>
    <t xml:space="preserve">Inflation </t>
  </si>
  <si>
    <t>Yr</t>
  </si>
  <si>
    <t>2025F</t>
  </si>
  <si>
    <t>2026F</t>
  </si>
  <si>
    <t>2027F</t>
  </si>
  <si>
    <t>2028F</t>
  </si>
  <si>
    <t>2029F</t>
  </si>
  <si>
    <t>Inflation</t>
  </si>
  <si>
    <t>YR</t>
  </si>
  <si>
    <t>2024F</t>
  </si>
  <si>
    <t xml:space="preserve">WC </t>
  </si>
  <si>
    <t>Qty.Kg (monthly)</t>
  </si>
  <si>
    <t>Raw cullet</t>
  </si>
  <si>
    <t>Thb/Kg</t>
  </si>
  <si>
    <t>FC (Thb)Treat</t>
  </si>
  <si>
    <t>Stock</t>
  </si>
  <si>
    <t>Qty.kg  (annual)</t>
  </si>
  <si>
    <t xml:space="preserve">Treatment </t>
  </si>
  <si>
    <t>Depre treat</t>
  </si>
  <si>
    <t>AR</t>
  </si>
  <si>
    <t>Raw mat</t>
  </si>
  <si>
    <t>Avg.Logistic</t>
  </si>
  <si>
    <t>VC (Thb/kg\)Treat</t>
  </si>
  <si>
    <t>AP</t>
  </si>
  <si>
    <t>Treatment</t>
  </si>
  <si>
    <t>QTY.base</t>
  </si>
  <si>
    <t>Ton&gt; kg</t>
  </si>
  <si>
    <t>Yield Loss (%)</t>
  </si>
  <si>
    <t>WC Need</t>
  </si>
  <si>
    <t>Sell(Ex-work)</t>
  </si>
  <si>
    <t>EPR</t>
  </si>
  <si>
    <t>Yield Loss (kg)</t>
  </si>
  <si>
    <t xml:space="preserve">Logistic </t>
  </si>
  <si>
    <t>Yield Loss amt.(Thb)</t>
  </si>
  <si>
    <t>Interest amt.</t>
  </si>
  <si>
    <t xml:space="preserve">Avg.Net price </t>
  </si>
  <si>
    <t>Yield Loss (Thb/kg)</t>
  </si>
  <si>
    <t>FC (Thb) SG&amp;A</t>
  </si>
  <si>
    <t>Vol.Growth</t>
  </si>
  <si>
    <t>Depre SG&amp;A</t>
  </si>
  <si>
    <t>Value Growth</t>
  </si>
  <si>
    <t>VC (Thb/kg\)SG&amp;A</t>
  </si>
  <si>
    <t>Int.rate</t>
  </si>
  <si>
    <t xml:space="preserve">Financing </t>
  </si>
  <si>
    <t>WC Day</t>
  </si>
  <si>
    <t>A1.1) By Product</t>
  </si>
  <si>
    <t>By Product</t>
  </si>
  <si>
    <t>Capex</t>
  </si>
  <si>
    <t>Depre (Capex)</t>
  </si>
  <si>
    <t xml:space="preserve">Avg. Sell </t>
  </si>
  <si>
    <t>Depre (Capex) Year</t>
  </si>
  <si>
    <t>By product</t>
  </si>
  <si>
    <t>Kg</t>
  </si>
  <si>
    <t>*** Financing cost supposed to be better rate than current rate , as  BSR intend to move from SME to Coperate port</t>
  </si>
  <si>
    <t>B) Cullet  (Sri racha)</t>
  </si>
  <si>
    <t>Cullet (Sri racha)</t>
  </si>
  <si>
    <t>Net price</t>
  </si>
  <si>
    <t xml:space="preserve">Raw </t>
  </si>
  <si>
    <t>Gap from Center</t>
  </si>
  <si>
    <t>Com.Base</t>
  </si>
  <si>
    <t>C) Float glass (Sri racha)</t>
  </si>
  <si>
    <t>Float glass (Sri racha)</t>
  </si>
  <si>
    <t>Raw</t>
  </si>
  <si>
    <t>D) Tempered glass (Sri racha)</t>
  </si>
  <si>
    <t xml:space="preserve"> Tempered glass (Sri racha)</t>
  </si>
  <si>
    <t>E) Cullet (DL)</t>
  </si>
  <si>
    <t>Cullet (DL)</t>
  </si>
  <si>
    <t>F) PET</t>
  </si>
  <si>
    <t>Sale</t>
  </si>
  <si>
    <t xml:space="preserve">G) CAN </t>
  </si>
  <si>
    <t xml:space="preserve">Sensitivity Factor </t>
  </si>
  <si>
    <t xml:space="preserve">1) Cullet  K.8 Vol . +   By product </t>
  </si>
  <si>
    <t xml:space="preserve">Best case scenario </t>
  </si>
  <si>
    <t xml:space="preserve">Base case scenario </t>
  </si>
  <si>
    <t xml:space="preserve">Worst case scenario </t>
  </si>
  <si>
    <t>Cullet Vol.</t>
  </si>
  <si>
    <t xml:space="preserve">EPR </t>
  </si>
  <si>
    <t xml:space="preserve"> By Product</t>
  </si>
  <si>
    <t xml:space="preserve">คิดเป็น 0.4% ของ cullet k.8 </t>
  </si>
  <si>
    <t>Net Price</t>
  </si>
  <si>
    <t xml:space="preserve">2) Subsidy </t>
  </si>
  <si>
    <t>Product</t>
  </si>
  <si>
    <t>Cullet</t>
  </si>
  <si>
    <t>PET</t>
  </si>
  <si>
    <t xml:space="preserve">CAN </t>
  </si>
  <si>
    <t>3) Discount Rate</t>
  </si>
  <si>
    <t>4) WC need</t>
  </si>
  <si>
    <t>sensitivity Model</t>
  </si>
  <si>
    <t>Cullte Oty.</t>
  </si>
  <si>
    <t>Best Case Revenue</t>
  </si>
  <si>
    <t>Base Case Revenue</t>
  </si>
  <si>
    <t>Worst Case Revenue</t>
  </si>
  <si>
    <t>Best</t>
  </si>
  <si>
    <t xml:space="preserve">                    ตารางสมมติฐาน</t>
  </si>
  <si>
    <t>งบการเงิน</t>
  </si>
  <si>
    <t xml:space="preserve">Financial Projection  BS Glass Recycling Company Limited
</t>
  </si>
  <si>
    <t>year</t>
  </si>
  <si>
    <t>Unit : THB.</t>
  </si>
  <si>
    <t>Unit</t>
  </si>
  <si>
    <t>Constant</t>
  </si>
  <si>
    <t>peroid start</t>
  </si>
  <si>
    <t>peroid end.</t>
  </si>
  <si>
    <t>Assumption</t>
  </si>
  <si>
    <t>Inflation Rate</t>
  </si>
  <si>
    <t>%</t>
  </si>
  <si>
    <t>Growth Rate</t>
  </si>
  <si>
    <t xml:space="preserve"> (Revenue Assumtion)</t>
  </si>
  <si>
    <t>A) Cullet (K.8)</t>
  </si>
  <si>
    <t>Product sell revenue</t>
  </si>
  <si>
    <t>THB</t>
  </si>
  <si>
    <t>EPR revenue</t>
  </si>
  <si>
    <t>THB/Kg.</t>
  </si>
  <si>
    <t>Total Revenue (By Item)</t>
  </si>
  <si>
    <t>Growth Rate (By Item)</t>
  </si>
  <si>
    <t>A.1) By Product</t>
  </si>
  <si>
    <t>B) Cullet (Sriracha)</t>
  </si>
  <si>
    <t>G) Can</t>
  </si>
  <si>
    <t>Total Revenue (All Item)</t>
  </si>
  <si>
    <t xml:space="preserve">Growth Rate Revenue </t>
  </si>
  <si>
    <t>สมมติฐานด้านค่าใช้จ่าย (Expense Assumption)</t>
  </si>
  <si>
    <t>ต้นทุนการให้บริการ (Cost of goods sold)</t>
  </si>
  <si>
    <t>ต้นทุนขาย</t>
  </si>
  <si>
    <t>สัดส่วนต้นทุนขาย</t>
  </si>
  <si>
    <t>อัตราเติบโตต้นทุนขาย</t>
  </si>
  <si>
    <t>Logistics</t>
  </si>
  <si>
    <t>Net cost</t>
  </si>
  <si>
    <t>Escalation Rate</t>
  </si>
  <si>
    <t>ค่าใช้จ่ายในการขายและบริหาร</t>
  </si>
  <si>
    <t>ค่าใช้จ่ายในการขาย</t>
  </si>
  <si>
    <t>ค่าใช้จ่ายในการดำเนินงาน</t>
  </si>
  <si>
    <t>รวมค่าใช้จ่ายในการขายและบริหาร SG&amp;A</t>
  </si>
  <si>
    <t>สัดส่วนค่าใช้จ่ายในการขายและบริหาร</t>
  </si>
  <si>
    <t>อัตราเติบโตของค่าใช้จ่ายในการขายและบริหาร</t>
  </si>
  <si>
    <t>ภาษีเงินได้นิติบุคคล</t>
  </si>
  <si>
    <t>รวมค่าใช้จ่าย</t>
  </si>
  <si>
    <t>สมมติฐานด้านงบดุล (Balancsheet Assumption)</t>
  </si>
  <si>
    <t>ลูกหนี้การค้า</t>
  </si>
  <si>
    <t>วัน</t>
  </si>
  <si>
    <t>สต๊อคสินค้าเพื่อขาย</t>
  </si>
  <si>
    <t>day</t>
  </si>
  <si>
    <t>เจ้าหนี้การค้า</t>
  </si>
  <si>
    <t>เงินทุนหมุนเวียนต้นงวด</t>
  </si>
  <si>
    <t>สมมติฐานด้านสินทรัพย์ (Asset Assumption)</t>
  </si>
  <si>
    <t>สินทรัพย์หมุนเวียน</t>
  </si>
  <si>
    <t>Total สินทรัพย์หมุนเวียน</t>
  </si>
  <si>
    <t>สินทรัพย์ถาวร</t>
  </si>
  <si>
    <t>ที่ดิน</t>
  </si>
  <si>
    <t>อาคารและส่วนปรับปรุง</t>
  </si>
  <si>
    <t>ถนนและพื้นที่โรงงาน</t>
  </si>
  <si>
    <t>ระบบสาธารณูปโภค</t>
  </si>
  <si>
    <t>เครื่องจักร</t>
  </si>
  <si>
    <t>เครื่ื่องมือ เครื่องใช้</t>
  </si>
  <si>
    <t>อุปกรณ์สำนักงาน</t>
  </si>
  <si>
    <t>ยานพาหนะ</t>
  </si>
  <si>
    <t>เครื่อง Gate Station</t>
  </si>
  <si>
    <t>งานระหว่างก่อสร้าง</t>
  </si>
  <si>
    <t>Total สินทรัพย์ถาวร</t>
  </si>
  <si>
    <t>สินทรัพย์ไม่มีตัวตน</t>
  </si>
  <si>
    <t>ระบบซ่อมบำรุงเชิงป้องกัน</t>
  </si>
  <si>
    <t>ระบบ Gate Station</t>
  </si>
  <si>
    <t>โปรแกรมคอมพิวเตอร์</t>
  </si>
  <si>
    <t>Total สินทรัพย์ไม่มีตัวตน</t>
  </si>
  <si>
    <t>Total Invesment</t>
  </si>
  <si>
    <t>CAPEX</t>
  </si>
  <si>
    <t>ค่าเสื่อมราคา (Depreciation)</t>
  </si>
  <si>
    <t>ปี</t>
  </si>
  <si>
    <t>Total ค่าเสื่อมสินทรัพย์ถาวร</t>
  </si>
  <si>
    <t>Total ค่าเสื่อมสินทรัพย์ไม่มีตัวตน</t>
  </si>
  <si>
    <t>รวมค่าเสื่อมราคา</t>
  </si>
  <si>
    <t>Depreciation CAPEX</t>
  </si>
  <si>
    <t>Depre.CAPEX</t>
  </si>
  <si>
    <t>สมมติฐานด้านหนี้สิน (Libilities Assumption)</t>
  </si>
  <si>
    <t>หนี้สินหมุนเวียน</t>
  </si>
  <si>
    <t>เจ้าหนี้การค้า (Account Payable)</t>
  </si>
  <si>
    <t>Total หนี้สินหมุนเวียน</t>
  </si>
  <si>
    <t>เงินกู้สถาบันการงิน Bank Loan</t>
  </si>
  <si>
    <t>% สัดส่วนการกู้เพื่อลงทุน</t>
  </si>
  <si>
    <t>เงินกู้ยืมหมุนเวียนระยะสั้น OD และ PN</t>
  </si>
  <si>
    <t>บาท</t>
  </si>
  <si>
    <t>อัตราดอกเบี้ยเงินกู้สถาบันการเงิน</t>
  </si>
  <si>
    <t>เงินกู้ระยะยาวสถาบันการเงิน</t>
  </si>
  <si>
    <t>ระยะเวลาชำระคืนเงินกู้</t>
  </si>
  <si>
    <t>หนี้สินรวม (Net Dept)</t>
  </si>
  <si>
    <t>1.เงินกู้ยืมหมุนเวียนระยะสั้น OD</t>
  </si>
  <si>
    <t>ยอดยกมา</t>
  </si>
  <si>
    <t>เบิกเงินกู้</t>
  </si>
  <si>
    <t>**ใส่ข้อมูลการเบิกเงินกู้(ถ้ามี)</t>
  </si>
  <si>
    <t>เงินต้นที่ชำระ</t>
  </si>
  <si>
    <t>**ใส่ค่าจำนวนเงินเป็นค่า(-)</t>
  </si>
  <si>
    <t>เงินต้้นคงเหลือในแต่ละปี</t>
  </si>
  <si>
    <t>ดอกเบี้ยจ่าย</t>
  </si>
  <si>
    <t>2.เงินกู้ระยะยาวสถาบันการเงิน</t>
  </si>
  <si>
    <t>การเบิกเงินกู้</t>
  </si>
  <si>
    <t>เงินต้นคงเหลือ</t>
  </si>
  <si>
    <t>รวมดอกเบี้ยจ่ายทั้งหมด</t>
  </si>
  <si>
    <t>Best case</t>
  </si>
  <si>
    <t>Scenario 1</t>
  </si>
  <si>
    <t>Scenario 2</t>
  </si>
  <si>
    <t>Profit and Lost Sheet</t>
  </si>
  <si>
    <t>Financial Projection  บริษัท เค แอนด์ โอ ซิสเต็มส์ แอนด์ คอนซัลติ้ง จำกัด</t>
  </si>
  <si>
    <t>Profit Loss Account</t>
  </si>
  <si>
    <t>รายได้จาการให้บริการ (Service Revenue)</t>
  </si>
  <si>
    <t>รายได้อื่่น. (Other Revenue)</t>
  </si>
  <si>
    <t>รวมรายได้</t>
  </si>
  <si>
    <t>อัตราเติบโตของยอดขาย Revenue Growth</t>
  </si>
  <si>
    <t>ต้นทุนการขาย (Cost of goods sold)</t>
  </si>
  <si>
    <t>COGS Rate</t>
  </si>
  <si>
    <t>อัตราเติบโตของต้นทุนขาย COGS escaration Rate</t>
  </si>
  <si>
    <t>กำไรขั้นต้น (Gross Margin)</t>
  </si>
  <si>
    <t>สัดส่วนกำไรขั้นต้น (GOP Margin)</t>
  </si>
  <si>
    <t>ค่าใช้จ่ายในการขาย (Sale and marketing Expense)</t>
  </si>
  <si>
    <t xml:space="preserve">สัดส่วนของค่าใช้จ่ายในการขาย </t>
  </si>
  <si>
    <t>ค่าใช้จ่ายในการบริหาร ( Operate Expense)</t>
  </si>
  <si>
    <t>สัดส่วนของค่าใช้จ่ายในการบริหาร</t>
  </si>
  <si>
    <t>รวมค่าใช้จ่ายในการขายและบริหาร (Total Expense)</t>
  </si>
  <si>
    <t>สัดส่วนของค่าใช้จ่ายในการขายและบริหาร</t>
  </si>
  <si>
    <t>กำไรก่อนหักดอกเบี้ยจ่าย ภาษี และ ค่าเสื่อม (EBITDA)</t>
  </si>
  <si>
    <t>สัดส่วน EBITDA Margin</t>
  </si>
  <si>
    <t>Depreation</t>
  </si>
  <si>
    <t>Deprea.CAPEX</t>
  </si>
  <si>
    <t>กำไรก่อนหักต้นทุนทางการเงินและภาษี (EBIT)</t>
  </si>
  <si>
    <t>EBIT Margin</t>
  </si>
  <si>
    <t>ต้นทุนทางการเงิน (Interester Expense)</t>
  </si>
  <si>
    <t>กำไรก่อนหักภาษีนิติบุคคน (Earning before tax)</t>
  </si>
  <si>
    <t>EBT Margin</t>
  </si>
  <si>
    <t>ภาษีเงินได้นิติบุคคล (Corpertate income tax)</t>
  </si>
  <si>
    <t>Tax Rate</t>
  </si>
  <si>
    <t>กำไรสุทธิ Net Profit margin</t>
  </si>
  <si>
    <t>NP Margin</t>
  </si>
  <si>
    <t>Balanc Sheet</t>
  </si>
  <si>
    <t>เงินสดหรือเทียบเท่า (Cash and Cash Equivalent)</t>
  </si>
  <si>
    <t>ลูกหนี้การค้า (Account Reciveable)</t>
  </si>
  <si>
    <t>สินค้าคงเหลือ (Inventory) ที่ดินมีไว้เพื่อขาย</t>
  </si>
  <si>
    <t>ที่ดิน อาคาร อุปกรณ์(Property plant and equipment)</t>
  </si>
  <si>
    <t>รวมสินทรัพย์ (Total Asset)</t>
  </si>
  <si>
    <t>เจ้าหนี้สถาบันการเงิน (Bank Dept)</t>
  </si>
  <si>
    <t>รวมหนี้สิน Total Liabillity</t>
  </si>
  <si>
    <t>ส่วนของเจ้าของ (Paid up capital)</t>
  </si>
  <si>
    <t>กำไร(ขาดทุน)สะสม (Retained earning)</t>
  </si>
  <si>
    <t>รวมส่วนของเจ้าของ (Total equity)</t>
  </si>
  <si>
    <t>รวมหนี้สินและส่วนของเจ้าของTotal liabillity and equity</t>
  </si>
  <si>
    <t>Check</t>
  </si>
  <si>
    <t>Cashflow statment</t>
  </si>
  <si>
    <t>EBIT</t>
  </si>
  <si>
    <t>( - ) ภาษีนิติบุคคล (Corporate income tax)</t>
  </si>
  <si>
    <t>( + ) ค่าเสื่อมราคา (Depreciation)</t>
  </si>
  <si>
    <t>( + ) ค่าเสื่อมราคา (Depre.CAPEX)</t>
  </si>
  <si>
    <t>( +/- ) ลูกหนี้การค้า (Account receivable)</t>
  </si>
  <si>
    <t>( +/- ) ทรัพย์ที่มีไว้เพื่อขาย Inventory</t>
  </si>
  <si>
    <t>( +/- ) เจ้าหนี้การค้า Account payable</t>
  </si>
  <si>
    <t>เงินสดจากการดำเนินงาน (Cash flow from operation)</t>
  </si>
  <si>
    <t>เงินลงทุนในสินทรัพย์ระยะยาว (Capex)</t>
  </si>
  <si>
    <t>เงินสดจากการลงทุน Cash flow from investing</t>
  </si>
  <si>
    <t>Debt drawdown</t>
  </si>
  <si>
    <t>Debt repayment</t>
  </si>
  <si>
    <t>Interest expense</t>
  </si>
  <si>
    <t>Capital injection</t>
  </si>
  <si>
    <t>Cash flow from financing</t>
  </si>
  <si>
    <t>Beginning cash flow</t>
  </si>
  <si>
    <t>Change in cash</t>
  </si>
  <si>
    <t>Ending cash flow</t>
  </si>
  <si>
    <t>Project return</t>
  </si>
  <si>
    <t>(-) Corporate Tax</t>
  </si>
  <si>
    <t>(+) Depreciation</t>
  </si>
  <si>
    <t>(+/-)Change in working capital</t>
  </si>
  <si>
    <t>Cashflow from operation</t>
  </si>
  <si>
    <t>Free cash flow to firm (FCFF)</t>
  </si>
  <si>
    <t>Net borrowing</t>
  </si>
  <si>
    <t>Free cashflow to equity (FCFE)</t>
  </si>
  <si>
    <t>FCFF Terminal Value</t>
  </si>
  <si>
    <t>FCFE Terminal Value</t>
  </si>
  <si>
    <t>FCFF+Terminal Value</t>
  </si>
  <si>
    <t>FCFE+Terminal Value</t>
  </si>
  <si>
    <t>Project IRR</t>
  </si>
  <si>
    <t>x</t>
  </si>
  <si>
    <t>Valuation FCFF</t>
  </si>
  <si>
    <t>Valuation FCFE</t>
  </si>
  <si>
    <t>Equity IRR</t>
  </si>
  <si>
    <t>Enterprise Value</t>
  </si>
  <si>
    <t>Equity Value</t>
  </si>
  <si>
    <t>(+)Cash</t>
  </si>
  <si>
    <t>Project NPV</t>
  </si>
  <si>
    <t>(-)Dept</t>
  </si>
  <si>
    <t>Equity NPV</t>
  </si>
  <si>
    <t>FCFF</t>
  </si>
  <si>
    <t>Accumulated FCFF</t>
  </si>
  <si>
    <t>FCFE</t>
  </si>
  <si>
    <t>Accumulated FCFE</t>
  </si>
  <si>
    <t>Project payback period</t>
  </si>
  <si>
    <t>Year</t>
  </si>
  <si>
    <t>Equity Payback period</t>
  </si>
  <si>
    <t>สรุป</t>
  </si>
  <si>
    <t>- จากการลงทุนในโครงการนี้ ผู้ลงทุนจะได้รับผลตอบแทนจากการลงทุนดังต่อไปนี้</t>
  </si>
  <si>
    <t>- อัตราผลตอบแทนจากการลงทุนทั้งโครงการ (Project IRR)</t>
  </si>
  <si>
    <t>- อัตราผลตอบแทนจากเงินลงทุน (Equity IRR)</t>
  </si>
  <si>
    <t>- จากการประเมินมูลค่าของกิจการ ณ ปัจจุบัน มีราคาที่เหมาะสม ดังนี้</t>
  </si>
  <si>
    <t>- มูลค่าที่เหมาะสมตามกระแสเงินสดอิสระของกิจการเท่ากับ</t>
  </si>
  <si>
    <t>- มูลค่าที่เหมาะสมตามเงินลงทุนของกิจการเท่ากับ</t>
  </si>
  <si>
    <t>- จากการทำประมาณการทางการเงินพบว่า ธุรกิจนี้มีระยะเวลาคุ้มทุน (Break Event) ดังนี้</t>
  </si>
  <si>
    <t>- ระยะเวลาคืนทุนของโครงการ (FCFF Pay back period)</t>
  </si>
  <si>
    <t>- ระยะเวลาคืนทุนของโครงการ (FCFE Pay back period)</t>
  </si>
  <si>
    <t xml:space="preserve">                    Valuation Sensitivity Model</t>
  </si>
  <si>
    <t>Wacc</t>
  </si>
  <si>
    <t xml:space="preserve">Valuation </t>
  </si>
  <si>
    <t>Formula</t>
  </si>
  <si>
    <t xml:space="preserve">Terminal Value </t>
  </si>
  <si>
    <r>
      <rPr>
        <rFont val="Chakra Petch"/>
        <color rgb="FF000000"/>
        <sz val="11.0"/>
      </rPr>
      <t>TV=(Fcf</t>
    </r>
    <r>
      <rPr>
        <rFont val="Chakra Petch"/>
        <color rgb="FF000000"/>
        <sz val="7.0"/>
      </rPr>
      <t>ปีสุดท้าย</t>
    </r>
    <r>
      <rPr>
        <rFont val="Chakra Petch"/>
        <color rgb="FF000000"/>
        <sz val="11.0"/>
      </rPr>
      <t>*(1+g) / (ke-g)</t>
    </r>
  </si>
  <si>
    <t>(CAPM) : Cost of equity (ke) = risk free rate (rf) + Beta (Return market (Rm) - risk free rate (rf))</t>
  </si>
  <si>
    <t>Discount rate calculation</t>
  </si>
  <si>
    <t>Risk free rate = government bond/yield 10yr - 20yr, THAIBMA</t>
  </si>
  <si>
    <t>Beta = Volatility</t>
  </si>
  <si>
    <t>WACC - Weighted average cost of capital</t>
  </si>
  <si>
    <t>Return market = Average return of SET index 10yr - 20yr</t>
  </si>
  <si>
    <t>Cost of equity - ต้นทุนของผู้ถือหุ้น</t>
  </si>
  <si>
    <t>Adjust country risk premium, construction premium, illliquidity premium</t>
  </si>
  <si>
    <t>Cost of debt - ต้นทุนเจ้าหนี้</t>
  </si>
  <si>
    <t>Weight equity</t>
  </si>
  <si>
    <t>CAPM (Capital asset pricing model)</t>
  </si>
  <si>
    <t>Ke</t>
  </si>
  <si>
    <t>สมมติฐาน (Assumption)</t>
  </si>
  <si>
    <t>Weight debt</t>
  </si>
  <si>
    <t>risk free rate (rf)</t>
  </si>
  <si>
    <t>ผลตอบแทนพันธบัตรรัฐบาลสหรัฐฯ อายุ 10 ปี ณ วันที่ 11 สิงหาคม 2025 อยู่ที่ 4.27%</t>
  </si>
  <si>
    <t>Kd</t>
  </si>
  <si>
    <t>beta</t>
  </si>
  <si>
    <t>อ้างอิงข้อมูลของบริษัท E&amp;E Recycling (จดทะเบียนในตลาด TPEX) โดยมีค่า Beta (5-year) อยู่ที่ 0.65</t>
  </si>
  <si>
    <t>WACC</t>
  </si>
  <si>
    <t>return market (rm)</t>
  </si>
  <si>
    <t>อัตราผลตอบแทนที่นักลงทุนคาดหวัง โดยอ้างอิงผลตอบแทนเฉลี่ยย้อนหลัง 10 ปี ของ S&amp;P500</t>
  </si>
  <si>
    <t>cost of equity (ke)</t>
  </si>
  <si>
    <t>cost of dept (kd)</t>
  </si>
  <si>
    <t>อ้างอิงจากอัตราดอกเบี้ยเงินกู้ของกิจการ</t>
  </si>
  <si>
    <t>ปีลงทุน</t>
  </si>
  <si>
    <t>เงินลงทุน</t>
  </si>
  <si>
    <t>อายุการใช้งาน</t>
  </si>
  <si>
    <t>รวมต่อปี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</si>
</sst>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* #,##0_-;\-* #,##0_-;_-* &quot;-&quot;??_-;_-@"/>
    <numFmt numFmtId="165" formatCode="_-* #,##0.00_-;\-* #,##0.00_-;_-* &quot;-&quot;??_-;_-@"/>
    <numFmt numFmtId="166" formatCode="#,##0.00;(#,##0.00)"/>
    <numFmt numFmtId="167" formatCode="0.0"/>
    <numFmt numFmtId="168" formatCode="h:mm am/pm"/>
    <numFmt numFmtId="169" formatCode="_-* #,##0.0_-;\-* #,##0.0_-;_-* &quot;-&quot;?_-;_-@"/>
    <numFmt numFmtId="170" formatCode="0.0%"/>
    <numFmt numFmtId="171" formatCode="d/m/yyyy"/>
    <numFmt numFmtId="172" formatCode="#,##0;(#,##0)"/>
    <numFmt numFmtId="173" formatCode="d&quot;/&quot;m&quot;/&quot;yyyy"/>
  </numFmts>
  <fonts count="76">
    <font>
      <sz val="10.0"/>
      <color rgb="FF000000"/>
      <name val="Arial"/>
      <scheme val="minor"/>
    </font>
    <font>
      <sz val="11.0"/>
      <color theme="1"/>
      <name val="Aptos Narrow"/>
    </font>
    <font>
      <b/>
      <sz val="14.0"/>
      <color theme="1"/>
      <name val="Aptos Narrow"/>
    </font>
    <font>
      <sz val="9.0"/>
      <color theme="1"/>
      <name val="Aptos Narrow"/>
    </font>
    <font>
      <color theme="1"/>
      <name val="Aptos Narrow"/>
    </font>
    <font/>
    <font>
      <b/>
      <sz val="11.0"/>
      <color theme="1"/>
      <name val="Aptos Narrow"/>
    </font>
    <font>
      <b/>
      <sz val="11.0"/>
      <color rgb="FFFF0000"/>
      <name val="Aptos Narrow"/>
    </font>
    <font>
      <b/>
      <color rgb="FFFF0000"/>
      <name val="Aptos Narrow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theme="1"/>
      <name val="Arial"/>
    </font>
    <font>
      <sz val="8.0"/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8.0"/>
      <color theme="1"/>
      <name val="Aptos Narrow"/>
    </font>
    <font>
      <color rgb="FF0033CC"/>
      <name val="Aptos Narrow"/>
    </font>
    <font>
      <sz val="11.0"/>
      <color rgb="FF0033CC"/>
      <name val="Aptos Narrow"/>
    </font>
    <font>
      <b/>
      <sz val="14.0"/>
      <color rgb="FF0033CC"/>
      <name val="Aptos Narrow"/>
    </font>
    <font>
      <b/>
      <sz val="12.0"/>
      <color rgb="FF0033CC"/>
      <name val="Aptos Narrow"/>
    </font>
    <font>
      <b/>
      <sz val="12.0"/>
      <color theme="1"/>
      <name val="Aptos Narrow"/>
    </font>
    <font>
      <b/>
      <color theme="1"/>
      <name val="Aptos Narrow"/>
    </font>
    <font>
      <b/>
      <sz val="9.0"/>
      <color theme="1"/>
      <name val="Aptos Narrow"/>
    </font>
    <font>
      <b/>
      <sz val="9.0"/>
      <color rgb="FFFF0000"/>
      <name val="Arial"/>
    </font>
    <font>
      <b/>
      <sz val="9.0"/>
      <color rgb="FFFF0000"/>
      <name val="Aptos Narrow"/>
    </font>
    <font>
      <color rgb="FFFF0000"/>
      <name val="Aptos Narrow"/>
    </font>
    <font>
      <sz val="13.0"/>
      <color theme="1"/>
      <name val="Chakra Petch"/>
    </font>
    <font>
      <color theme="1"/>
      <name val="Chakra Petch"/>
    </font>
    <font>
      <sz val="15.0"/>
      <color rgb="FF999999"/>
      <name val="Chakra Petch"/>
    </font>
    <font>
      <color rgb="FF999999"/>
      <name val="Chakra Petch"/>
    </font>
    <font>
      <b/>
      <color theme="1"/>
      <name val="Chakra Petch"/>
    </font>
    <font>
      <color rgb="FF999999"/>
      <name val="Arial"/>
    </font>
    <font>
      <color rgb="FF0033CC"/>
      <name val="Chakra Petch"/>
    </font>
    <font>
      <color rgb="FFB7B7B7"/>
      <name val="Chakra Petch"/>
    </font>
    <font>
      <b/>
      <color rgb="FF0033CC"/>
      <name val="Chakra Petch"/>
    </font>
    <font>
      <b/>
      <color rgb="FFB7B7B7"/>
      <name val="Chakra Petch"/>
    </font>
    <font>
      <sz val="10.0"/>
      <color theme="1"/>
      <name val="Chakra Petch"/>
    </font>
    <font>
      <sz val="10.0"/>
      <color rgb="FF0033CC"/>
      <name val="Chakra Petch"/>
    </font>
    <font>
      <sz val="10.0"/>
      <color rgb="FFB7B7B7"/>
      <name val="Chakra Petch"/>
    </font>
    <font>
      <b/>
      <i/>
      <color rgb="FF38761D"/>
      <name val="Chakra Petch"/>
    </font>
    <font>
      <b/>
      <i/>
      <color rgb="FF999999"/>
      <name val="Chakra Petch"/>
    </font>
    <font>
      <b/>
      <color rgb="FF38761D"/>
      <name val="Chakra Petch"/>
    </font>
    <font>
      <color rgb="FF38761D"/>
      <name val="Chakra Petch"/>
    </font>
    <font>
      <b/>
      <i/>
      <color rgb="FFFF9900"/>
      <name val="Chakra Petch"/>
    </font>
    <font>
      <b/>
      <i/>
      <color rgb="FF801010"/>
      <name val="Chakra Petch"/>
    </font>
    <font>
      <color rgb="FFFF9900"/>
      <name val="Chakra Petch"/>
    </font>
    <font>
      <color rgb="FF801010"/>
      <name val="Chakra Petch"/>
    </font>
    <font>
      <color rgb="FF000000"/>
      <name val="Chakra Petch"/>
    </font>
    <font>
      <color rgb="FFEFEFEF"/>
      <name val="Chakra Petch"/>
    </font>
    <font>
      <b/>
      <color rgb="FF000000"/>
      <name val="Chakra Petch"/>
    </font>
    <font>
      <b/>
      <i/>
      <color theme="1"/>
      <name val="Chakra Petch"/>
    </font>
    <font>
      <b/>
      <i/>
      <color rgb="FF0000FF"/>
      <name val="Chakra Petch"/>
    </font>
    <font>
      <b/>
      <i/>
      <color rgb="FF0033CC"/>
      <name val="Chakra Petch"/>
    </font>
    <font>
      <color rgb="FF666666"/>
      <name val="Chakra Petch"/>
    </font>
    <font>
      <i/>
      <color rgb="FF0033CC"/>
      <name val="Chakra Petch"/>
    </font>
    <font>
      <i/>
      <color rgb="FF999999"/>
      <name val="Chakra Petch"/>
    </font>
    <font>
      <b/>
      <color rgb="FF999999"/>
      <name val="Chakra Petch"/>
    </font>
    <font>
      <sz val="12.0"/>
      <color theme="1"/>
      <name val="Chakra Petch"/>
    </font>
    <font>
      <b/>
      <i/>
      <color rgb="FF666666"/>
      <name val="Chakra Petch"/>
    </font>
    <font>
      <b/>
      <sz val="10.0"/>
      <color rgb="FF0033CC"/>
      <name val="Chakra Petch"/>
    </font>
    <font>
      <b/>
      <color rgb="FF666666"/>
      <name val="Chakra Petch"/>
    </font>
    <font>
      <i/>
      <color rgb="FF0000FF"/>
      <name val="Chakra Petch"/>
    </font>
    <font>
      <b/>
      <i/>
      <sz val="10.0"/>
      <color rgb="FF0000FF"/>
      <name val="Chakra Petch"/>
    </font>
    <font>
      <color rgb="FFFF0000"/>
      <name val="Chakra Petch"/>
    </font>
    <font>
      <b/>
      <sz val="11.0"/>
      <color rgb="FF000000"/>
      <name val="Chakra Petch"/>
    </font>
    <font>
      <sz val="11.0"/>
      <color rgb="FF000000"/>
      <name val="Chakra Petch"/>
    </font>
    <font>
      <b/>
      <i/>
      <sz val="11.0"/>
      <color rgb="FF0033CC"/>
      <name val="Chakra Petch"/>
    </font>
    <font>
      <sz val="8.0"/>
      <color theme="1"/>
      <name val="Chakra Petch"/>
    </font>
    <font>
      <sz val="9.0"/>
      <color rgb="FF808080"/>
      <name val="Chakra Petch"/>
    </font>
    <font>
      <b/>
      <sz val="12.0"/>
      <color theme="1"/>
      <name val="Chakra Petch"/>
    </font>
    <font>
      <b/>
      <sz val="11.0"/>
      <color theme="1"/>
      <name val="Chakra Petch"/>
    </font>
    <font>
      <b/>
      <sz val="11.0"/>
      <color rgb="FFFF0000"/>
      <name val="Chakra Petch"/>
    </font>
    <font>
      <color rgb="FF0000FF"/>
      <name val="Chakra Petch"/>
    </font>
    <font>
      <sz val="11.0"/>
      <color theme="1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76DCC"/>
        <bgColor rgb="FFD76DCC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FFFF00"/>
        <bgColor rgb="FFFFFF00"/>
      </patternFill>
    </fill>
    <fill>
      <patternFill patternType="solid">
        <fgColor rgb="FFFAE2D5"/>
        <bgColor rgb="FFFAE2D5"/>
      </patternFill>
    </fill>
    <fill>
      <patternFill patternType="solid">
        <fgColor rgb="FFE8E8E8"/>
        <bgColor rgb="FFE8E8E8"/>
      </patternFill>
    </fill>
    <fill>
      <patternFill patternType="solid">
        <fgColor rgb="FFFFFFCC"/>
        <bgColor rgb="FFFFFFCC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1C7C7"/>
        <bgColor rgb="FFF1C7C7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6EBF0"/>
        <bgColor rgb="FFF6EBF0"/>
      </patternFill>
    </fill>
    <fill>
      <patternFill patternType="solid">
        <fgColor rgb="FFDAE7F2"/>
        <bgColor rgb="FFDAE7F2"/>
      </patternFill>
    </fill>
    <fill>
      <patternFill patternType="solid">
        <fgColor rgb="FFE6B8AF"/>
        <bgColor rgb="FFE6B8AF"/>
      </patternFill>
    </fill>
    <fill>
      <patternFill patternType="solid">
        <fgColor rgb="FFE6E0E0"/>
        <bgColor rgb="FFE6E0E0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6B26B"/>
        <bgColor rgb="FFF6B26B"/>
      </patternFill>
    </fill>
  </fills>
  <borders count="42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ont="1">
      <alignment vertical="bottom"/>
    </xf>
    <xf borderId="1" fillId="2" fontId="3" numFmtId="164" xfId="0" applyAlignment="1" applyBorder="1" applyFont="1" applyNumberFormat="1">
      <alignment horizontal="right" vertical="bottom"/>
    </xf>
    <xf borderId="1" fillId="2" fontId="1" numFmtId="9" xfId="0" applyAlignment="1" applyBorder="1" applyFont="1" applyNumberFormat="1">
      <alignment horizontal="right" vertical="bottom"/>
    </xf>
    <xf borderId="1" fillId="2" fontId="4" numFmtId="164" xfId="0" applyAlignment="1" applyBorder="1" applyFont="1" applyNumberFormat="1">
      <alignment horizontal="right" vertical="bottom"/>
    </xf>
    <xf borderId="1" fillId="2" fontId="1" numFmtId="164" xfId="0" applyAlignment="1" applyBorder="1" applyFont="1" applyNumberFormat="1">
      <alignment vertical="bottom"/>
    </xf>
    <xf borderId="2" fillId="2" fontId="1" numFmtId="164" xfId="0" applyAlignment="1" applyBorder="1" applyFont="1" applyNumberFormat="1">
      <alignment vertical="bottom"/>
    </xf>
    <xf borderId="3" fillId="0" fontId="5" numFmtId="0" xfId="0" applyBorder="1" applyFont="1"/>
    <xf borderId="1" fillId="2" fontId="1" numFmtId="165" xfId="0" applyAlignment="1" applyBorder="1" applyFont="1" applyNumberFormat="1">
      <alignment vertical="bottom"/>
    </xf>
    <xf borderId="1" fillId="3" fontId="1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1" fillId="4" fontId="1" numFmtId="0" xfId="0" applyAlignment="1" applyBorder="1" applyFill="1" applyFont="1">
      <alignment vertical="bottom"/>
    </xf>
    <xf borderId="1" fillId="2" fontId="7" numFmtId="0" xfId="0" applyAlignment="1" applyBorder="1" applyFont="1">
      <alignment horizontal="right" vertical="bottom"/>
    </xf>
    <xf borderId="1" fillId="2" fontId="8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2" fontId="1" numFmtId="9" xfId="0" applyAlignment="1" applyBorder="1" applyFont="1" applyNumberFormat="1">
      <alignment horizontal="right" vertical="bottom"/>
    </xf>
    <xf borderId="4" fillId="2" fontId="9" numFmtId="0" xfId="0" applyAlignment="1" applyBorder="1" applyFont="1">
      <alignment horizontal="center" vertical="bottom"/>
    </xf>
    <xf borderId="4" fillId="2" fontId="6" numFmtId="9" xfId="0" applyAlignment="1" applyBorder="1" applyFont="1" applyNumberFormat="1">
      <alignment horizontal="right" vertical="bottom"/>
    </xf>
    <xf borderId="1" fillId="5" fontId="6" numFmtId="165" xfId="0" applyAlignment="1" applyBorder="1" applyFill="1" applyFont="1" applyNumberFormat="1">
      <alignment horizontal="right" vertical="bottom"/>
    </xf>
    <xf borderId="4" fillId="6" fontId="9" numFmtId="0" xfId="0" applyAlignment="1" applyBorder="1" applyFill="1" applyFont="1">
      <alignment horizontal="center" vertical="bottom"/>
    </xf>
    <xf borderId="4" fillId="2" fontId="6" numFmtId="0" xfId="0" applyAlignment="1" applyBorder="1" applyFont="1">
      <alignment vertical="bottom"/>
    </xf>
    <xf borderId="5" fillId="2" fontId="9" numFmtId="0" xfId="0" applyAlignment="1" applyBorder="1" applyFont="1">
      <alignment horizontal="center" vertical="bottom"/>
    </xf>
    <xf borderId="6" fillId="2" fontId="9" numFmtId="0" xfId="0" applyAlignment="1" applyBorder="1" applyFont="1">
      <alignment horizontal="center" vertical="bottom"/>
    </xf>
    <xf borderId="7" fillId="7" fontId="9" numFmtId="0" xfId="0" applyAlignment="1" applyBorder="1" applyFill="1" applyFont="1">
      <alignment vertical="bottom"/>
    </xf>
    <xf borderId="8" fillId="7" fontId="10" numFmtId="164" xfId="0" applyAlignment="1" applyBorder="1" applyFont="1" applyNumberFormat="1">
      <alignment horizontal="center" vertical="bottom"/>
    </xf>
    <xf borderId="8" fillId="7" fontId="9" numFmtId="164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vertical="bottom"/>
    </xf>
    <xf borderId="4" fillId="2" fontId="7" numFmtId="165" xfId="0" applyAlignment="1" applyBorder="1" applyFont="1" applyNumberFormat="1">
      <alignment horizontal="right" vertical="bottom"/>
    </xf>
    <xf borderId="4" fillId="2" fontId="11" numFmtId="0" xfId="0" applyAlignment="1" applyBorder="1" applyFont="1">
      <alignment vertical="bottom"/>
    </xf>
    <xf borderId="4" fillId="6" fontId="12" numFmtId="164" xfId="0" applyAlignment="1" applyBorder="1" applyFont="1" applyNumberFormat="1">
      <alignment horizontal="right" vertical="bottom"/>
    </xf>
    <xf borderId="4" fillId="2" fontId="12" numFmtId="166" xfId="0" applyAlignment="1" applyBorder="1" applyFont="1" applyNumberFormat="1">
      <alignment horizontal="right" vertical="bottom"/>
    </xf>
    <xf borderId="1" fillId="2" fontId="13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1" fillId="2" fontId="1" numFmtId="165" xfId="0" applyAlignment="1" applyBorder="1" applyFont="1" applyNumberFormat="1">
      <alignment horizontal="right" vertical="bottom"/>
    </xf>
    <xf borderId="7" fillId="2" fontId="1" numFmtId="165" xfId="0" applyAlignment="1" applyBorder="1" applyFont="1" applyNumberFormat="1">
      <alignment horizontal="right" vertical="bottom"/>
    </xf>
    <xf borderId="9" fillId="2" fontId="1" numFmtId="165" xfId="0" applyAlignment="1" applyBorder="1" applyFont="1" applyNumberFormat="1">
      <alignment horizontal="right" vertical="bottom"/>
    </xf>
    <xf borderId="7" fillId="2" fontId="11" numFmtId="0" xfId="0" applyAlignment="1" applyBorder="1" applyFont="1">
      <alignment vertical="bottom"/>
    </xf>
    <xf borderId="7" fillId="2" fontId="11" numFmtId="164" xfId="0" applyAlignment="1" applyBorder="1" applyFont="1" applyNumberFormat="1">
      <alignment horizontal="center" vertical="bottom"/>
    </xf>
    <xf borderId="4" fillId="2" fontId="6" numFmtId="165" xfId="0" applyAlignment="1" applyBorder="1" applyFont="1" applyNumberFormat="1">
      <alignment horizontal="right" vertical="bottom"/>
    </xf>
    <xf borderId="4" fillId="6" fontId="3" numFmtId="164" xfId="0" applyAlignment="1" applyBorder="1" applyFont="1" applyNumberFormat="1">
      <alignment horizontal="right" vertical="bottom"/>
    </xf>
    <xf borderId="4" fillId="2" fontId="3" numFmtId="166" xfId="0" applyAlignment="1" applyBorder="1" applyFont="1" applyNumberFormat="1">
      <alignment horizontal="center" vertical="bottom"/>
    </xf>
    <xf borderId="7" fillId="2" fontId="11" numFmtId="165" xfId="0" applyAlignment="1" applyBorder="1" applyFont="1" applyNumberFormat="1">
      <alignment horizontal="center" vertical="bottom"/>
    </xf>
    <xf borderId="4" fillId="6" fontId="12" numFmtId="165" xfId="0" applyAlignment="1" applyBorder="1" applyFont="1" applyNumberFormat="1">
      <alignment horizontal="right" vertical="bottom"/>
    </xf>
    <xf borderId="4" fillId="2" fontId="6" numFmtId="0" xfId="0" applyAlignment="1" applyBorder="1" applyFont="1">
      <alignment horizontal="right" vertical="bottom"/>
    </xf>
    <xf borderId="4" fillId="6" fontId="12" numFmtId="10" xfId="0" applyAlignment="1" applyBorder="1" applyFont="1" applyNumberFormat="1">
      <alignment horizontal="right" vertical="bottom"/>
    </xf>
    <xf borderId="1" fillId="2" fontId="1" numFmtId="10" xfId="0" applyAlignment="1" applyBorder="1" applyFont="1" applyNumberFormat="1">
      <alignment vertical="bottom"/>
    </xf>
    <xf borderId="10" fillId="2" fontId="6" numFmtId="0" xfId="0" applyAlignment="1" applyBorder="1" applyFont="1">
      <alignment vertical="bottom"/>
    </xf>
    <xf borderId="11" fillId="2" fontId="6" numFmtId="165" xfId="0" applyAlignment="1" applyBorder="1" applyFont="1" applyNumberFormat="1">
      <alignment horizontal="right" vertical="bottom"/>
    </xf>
    <xf borderId="10" fillId="2" fontId="6" numFmtId="165" xfId="0" applyAlignment="1" applyBorder="1" applyFont="1" applyNumberFormat="1">
      <alignment horizontal="right" vertical="bottom"/>
    </xf>
    <xf borderId="12" fillId="2" fontId="6" numFmtId="165" xfId="0" applyAlignment="1" applyBorder="1" applyFont="1" applyNumberFormat="1">
      <alignment horizontal="right" vertical="bottom"/>
    </xf>
    <xf borderId="0" fillId="0" fontId="14" numFmtId="0" xfId="0" applyFont="1"/>
    <xf borderId="4" fillId="0" fontId="15" numFmtId="0" xfId="0" applyBorder="1" applyFont="1"/>
    <xf borderId="0" fillId="0" fontId="16" numFmtId="0" xfId="0" applyFont="1"/>
    <xf borderId="4" fillId="6" fontId="1" numFmtId="0" xfId="0" applyAlignment="1" applyBorder="1" applyFont="1">
      <alignment vertical="bottom"/>
    </xf>
    <xf borderId="4" fillId="2" fontId="17" numFmtId="166" xfId="0" applyAlignment="1" applyBorder="1" applyFont="1" applyNumberFormat="1">
      <alignment horizontal="right" vertical="bottom"/>
    </xf>
    <xf borderId="10" fillId="2" fontId="11" numFmtId="0" xfId="0" applyAlignment="1" applyBorder="1" applyFont="1">
      <alignment vertical="bottom"/>
    </xf>
    <xf borderId="10" fillId="2" fontId="11" numFmtId="165" xfId="0" applyAlignment="1" applyBorder="1" applyFont="1" applyNumberFormat="1">
      <alignment horizontal="center" vertical="bottom"/>
    </xf>
    <xf borderId="13" fillId="2" fontId="1" numFmtId="0" xfId="0" applyAlignment="1" applyBorder="1" applyFont="1">
      <alignment vertical="bottom"/>
    </xf>
    <xf borderId="4" fillId="6" fontId="1" numFmtId="164" xfId="0" applyAlignment="1" applyBorder="1" applyFont="1" applyNumberFormat="1">
      <alignment vertical="bottom"/>
    </xf>
    <xf borderId="1" fillId="2" fontId="6" numFmtId="165" xfId="0" applyAlignment="1" applyBorder="1" applyFont="1" applyNumberFormat="1">
      <alignment horizontal="right" vertical="bottom"/>
    </xf>
    <xf borderId="14" fillId="2" fontId="9" numFmtId="0" xfId="0" applyAlignment="1" applyBorder="1" applyFont="1">
      <alignment vertical="bottom"/>
    </xf>
    <xf borderId="14" fillId="2" fontId="9" numFmtId="165" xfId="0" applyAlignment="1" applyBorder="1" applyFont="1" applyNumberFormat="1">
      <alignment horizontal="center" vertical="bottom"/>
    </xf>
    <xf borderId="4" fillId="6" fontId="3" numFmtId="0" xfId="0" applyAlignment="1" applyBorder="1" applyFont="1">
      <alignment horizontal="right" vertical="bottom"/>
    </xf>
    <xf borderId="4" fillId="2" fontId="3" numFmtId="166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horizontal="right" vertical="bottom"/>
    </xf>
    <xf borderId="1" fillId="2" fontId="4" numFmtId="9" xfId="0" applyAlignment="1" applyBorder="1" applyFont="1" applyNumberFormat="1">
      <alignment horizontal="right" vertical="bottom"/>
    </xf>
    <xf borderId="1" fillId="2" fontId="1" numFmtId="10" xfId="0" applyAlignment="1" applyBorder="1" applyFont="1" applyNumberFormat="1">
      <alignment horizontal="right" vertical="bottom"/>
    </xf>
    <xf borderId="15" fillId="2" fontId="6" numFmtId="0" xfId="0" applyAlignment="1" applyBorder="1" applyFont="1">
      <alignment vertical="bottom"/>
    </xf>
    <xf borderId="16" fillId="2" fontId="6" numFmtId="9" xfId="0" applyAlignment="1" applyBorder="1" applyFont="1" applyNumberFormat="1">
      <alignment horizontal="right" vertical="bottom"/>
    </xf>
    <xf borderId="17" fillId="2" fontId="6" numFmtId="0" xfId="0" applyAlignment="1" applyBorder="1" applyFont="1">
      <alignment vertical="bottom"/>
    </xf>
    <xf borderId="12" fillId="2" fontId="6" numFmtId="0" xfId="0" applyAlignment="1" applyBorder="1" applyFont="1">
      <alignment horizontal="right" vertical="bottom"/>
    </xf>
    <xf borderId="4" fillId="2" fontId="11" numFmtId="166" xfId="0" applyAlignment="1" applyBorder="1" applyFont="1" applyNumberFormat="1">
      <alignment horizontal="center" vertical="bottom"/>
    </xf>
    <xf borderId="1" fillId="2" fontId="3" numFmtId="166" xfId="0" applyAlignment="1" applyBorder="1" applyFont="1" applyNumberFormat="1">
      <alignment horizontal="center" vertical="bottom"/>
    </xf>
    <xf borderId="8" fillId="2" fontId="11" numFmtId="164" xfId="0" applyAlignment="1" applyBorder="1" applyFont="1" applyNumberFormat="1">
      <alignment horizontal="center" vertical="bottom"/>
    </xf>
    <xf borderId="4" fillId="2" fontId="13" numFmtId="0" xfId="0" applyAlignment="1" applyBorder="1" applyFont="1">
      <alignment vertical="bottom"/>
    </xf>
    <xf borderId="4" fillId="0" fontId="11" numFmtId="0" xfId="0" applyAlignment="1" applyBorder="1" applyFont="1">
      <alignment horizontal="center"/>
    </xf>
    <xf borderId="4" fillId="2" fontId="3" numFmtId="166" xfId="0" applyAlignment="1" applyBorder="1" applyFont="1" applyNumberFormat="1">
      <alignment vertical="bottom"/>
    </xf>
    <xf borderId="18" fillId="2" fontId="1" numFmtId="0" xfId="0" applyAlignment="1" applyBorder="1" applyFont="1">
      <alignment vertical="bottom"/>
    </xf>
    <xf borderId="4" fillId="2" fontId="6" numFmtId="10" xfId="0" applyAlignment="1" applyBorder="1" applyFont="1" applyNumberFormat="1">
      <alignment horizontal="right" vertical="bottom"/>
    </xf>
    <xf borderId="13" fillId="2" fontId="1" numFmtId="165" xfId="0" applyAlignment="1" applyBorder="1" applyFont="1" applyNumberFormat="1">
      <alignment vertical="bottom"/>
    </xf>
    <xf borderId="10" fillId="2" fontId="1" numFmtId="0" xfId="0" applyAlignment="1" applyBorder="1" applyFont="1">
      <alignment vertical="bottom"/>
    </xf>
    <xf borderId="7" fillId="2" fontId="4" numFmtId="164" xfId="0" applyAlignment="1" applyBorder="1" applyFont="1" applyNumberFormat="1">
      <alignment horizontal="right" vertical="bottom"/>
    </xf>
    <xf borderId="19" fillId="2" fontId="11" numFmtId="164" xfId="0" applyAlignment="1" applyBorder="1" applyFont="1" applyNumberFormat="1">
      <alignment horizontal="center" vertical="bottom"/>
    </xf>
    <xf borderId="4" fillId="2" fontId="13" numFmtId="165" xfId="0" applyAlignment="1" applyBorder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0" fontId="14" numFmtId="0" xfId="0" applyAlignment="1" applyFont="1">
      <alignment horizontal="center"/>
    </xf>
    <xf borderId="20" fillId="2" fontId="11" numFmtId="165" xfId="0" applyAlignment="1" applyBorder="1" applyFont="1" applyNumberFormat="1">
      <alignment horizontal="center" vertical="bottom"/>
    </xf>
    <xf borderId="7" fillId="2" fontId="12" numFmtId="0" xfId="0" applyAlignment="1" applyBorder="1" applyFont="1">
      <alignment vertical="bottom"/>
    </xf>
    <xf borderId="21" fillId="2" fontId="11" numFmtId="165" xfId="0" applyAlignment="1" applyBorder="1" applyFont="1" applyNumberFormat="1">
      <alignment horizontal="center" vertical="bottom"/>
    </xf>
    <xf borderId="8" fillId="2" fontId="4" numFmtId="164" xfId="0" applyAlignment="1" applyBorder="1" applyFont="1" applyNumberFormat="1">
      <alignment horizontal="right" vertical="bottom"/>
    </xf>
    <xf borderId="22" fillId="2" fontId="9" numFmtId="165" xfId="0" applyAlignment="1" applyBorder="1" applyFont="1" applyNumberFormat="1">
      <alignment horizontal="center" vertical="bottom"/>
    </xf>
    <xf borderId="4" fillId="0" fontId="15" numFmtId="166" xfId="0" applyBorder="1" applyFont="1" applyNumberFormat="1"/>
    <xf borderId="8" fillId="2" fontId="1" numFmtId="164" xfId="0" applyAlignment="1" applyBorder="1" applyFont="1" applyNumberFormat="1">
      <alignment vertical="bottom"/>
    </xf>
    <xf borderId="0" fillId="0" fontId="14" numFmtId="0" xfId="0" applyAlignment="1" applyFont="1">
      <alignment vertical="bottom"/>
    </xf>
    <xf borderId="4" fillId="0" fontId="15" numFmtId="0" xfId="0" applyAlignment="1" applyBorder="1" applyFont="1">
      <alignment horizontal="right" vertical="bottom"/>
    </xf>
    <xf borderId="0" fillId="0" fontId="16" numFmtId="0" xfId="0" applyAlignment="1" applyFont="1">
      <alignment vertical="bottom"/>
    </xf>
    <xf borderId="1" fillId="2" fontId="18" numFmtId="164" xfId="0" applyAlignment="1" applyBorder="1" applyFont="1" applyNumberFormat="1">
      <alignment horizontal="right" vertical="bottom"/>
    </xf>
    <xf borderId="1" fillId="2" fontId="13" numFmtId="9" xfId="0" applyAlignment="1" applyBorder="1" applyFont="1" applyNumberFormat="1">
      <alignment horizontal="right" vertical="bottom"/>
    </xf>
    <xf borderId="1" fillId="2" fontId="19" numFmtId="164" xfId="0" applyAlignment="1" applyBorder="1" applyFont="1" applyNumberFormat="1">
      <alignment horizontal="right" vertical="bottom"/>
    </xf>
    <xf borderId="4" fillId="0" fontId="15" numFmtId="167" xfId="0" applyAlignment="1" applyBorder="1" applyFont="1" applyNumberFormat="1">
      <alignment horizontal="right" vertical="bottom"/>
    </xf>
    <xf borderId="1" fillId="2" fontId="13" numFmtId="168" xfId="0" applyAlignment="1" applyBorder="1" applyFont="1" applyNumberFormat="1">
      <alignment horizontal="right" vertical="bottom"/>
    </xf>
    <xf borderId="1" fillId="2" fontId="16" numFmtId="0" xfId="0" applyAlignment="1" applyBorder="1" applyFont="1">
      <alignment vertical="bottom"/>
    </xf>
    <xf borderId="1" fillId="2" fontId="20" numFmtId="0" xfId="0" applyAlignment="1" applyBorder="1" applyFont="1">
      <alignment vertical="bottom"/>
    </xf>
    <xf borderId="1" fillId="8" fontId="21" numFmtId="0" xfId="0" applyAlignment="1" applyBorder="1" applyFill="1" applyFont="1">
      <alignment vertical="bottom"/>
    </xf>
    <xf borderId="1" fillId="8" fontId="16" numFmtId="0" xfId="0" applyAlignment="1" applyBorder="1" applyFont="1">
      <alignment vertical="bottom"/>
    </xf>
    <xf borderId="1" fillId="2" fontId="16" numFmtId="169" xfId="0" applyAlignment="1" applyBorder="1" applyFont="1" applyNumberFormat="1">
      <alignment vertical="bottom"/>
    </xf>
    <xf borderId="1" fillId="9" fontId="22" numFmtId="0" xfId="0" applyAlignment="1" applyBorder="1" applyFill="1" applyFont="1">
      <alignment vertical="bottom"/>
    </xf>
    <xf borderId="1" fillId="2" fontId="16" numFmtId="9" xfId="0" applyAlignment="1" applyBorder="1" applyFont="1" applyNumberFormat="1">
      <alignment vertical="bottom"/>
    </xf>
    <xf borderId="4" fillId="10" fontId="23" numFmtId="0" xfId="0" applyAlignment="1" applyBorder="1" applyFill="1" applyFont="1">
      <alignment horizontal="center" vertical="bottom"/>
    </xf>
    <xf borderId="1" fillId="2" fontId="24" numFmtId="0" xfId="0" applyAlignment="1" applyBorder="1" applyFont="1">
      <alignment horizontal="center" vertical="bottom"/>
    </xf>
    <xf borderId="23" fillId="2" fontId="9" numFmtId="0" xfId="0" applyAlignment="1" applyBorder="1" applyFont="1">
      <alignment horizontal="center" vertical="bottom"/>
    </xf>
    <xf borderId="8" fillId="10" fontId="9" numFmtId="0" xfId="0" applyAlignment="1" applyBorder="1" applyFont="1">
      <alignment vertical="bottom"/>
    </xf>
    <xf borderId="24" fillId="10" fontId="25" numFmtId="164" xfId="0" applyAlignment="1" applyBorder="1" applyFont="1" applyNumberFormat="1">
      <alignment horizontal="center" vertical="bottom"/>
    </xf>
    <xf borderId="24" fillId="10" fontId="9" numFmtId="164" xfId="0" applyAlignment="1" applyBorder="1" applyFont="1" applyNumberFormat="1">
      <alignment horizontal="center" vertical="bottom"/>
    </xf>
    <xf borderId="16" fillId="10" fontId="9" numFmtId="164" xfId="0" applyAlignment="1" applyBorder="1" applyFont="1" applyNumberFormat="1">
      <alignment horizontal="center" vertical="bottom"/>
    </xf>
    <xf borderId="11" fillId="2" fontId="11" numFmtId="164" xfId="0" applyAlignment="1" applyBorder="1" applyFont="1" applyNumberFormat="1">
      <alignment horizontal="center" vertical="bottom"/>
    </xf>
    <xf borderId="12" fillId="2" fontId="11" numFmtId="164" xfId="0" applyAlignment="1" applyBorder="1" applyFont="1" applyNumberFormat="1">
      <alignment horizontal="center" vertical="bottom"/>
    </xf>
    <xf borderId="11" fillId="2" fontId="12" numFmtId="164" xfId="0" applyAlignment="1" applyBorder="1" applyFont="1" applyNumberFormat="1">
      <alignment horizontal="center" vertical="bottom"/>
    </xf>
    <xf borderId="12" fillId="2" fontId="12" numFmtId="164" xfId="0" applyAlignment="1" applyBorder="1" applyFont="1" applyNumberFormat="1">
      <alignment horizontal="center" vertical="bottom"/>
    </xf>
    <xf borderId="8" fillId="2" fontId="3" numFmtId="165" xfId="0" applyAlignment="1" applyBorder="1" applyFont="1" applyNumberFormat="1">
      <alignment vertical="bottom"/>
    </xf>
    <xf borderId="1" fillId="2" fontId="3" numFmtId="165" xfId="0" applyAlignment="1" applyBorder="1" applyFont="1" applyNumberFormat="1">
      <alignment horizontal="right" vertical="bottom"/>
    </xf>
    <xf borderId="9" fillId="2" fontId="3" numFmtId="165" xfId="0" applyAlignment="1" applyBorder="1" applyFont="1" applyNumberFormat="1">
      <alignment horizontal="right" vertical="bottom"/>
    </xf>
    <xf borderId="7" fillId="2" fontId="3" numFmtId="165" xfId="0" applyAlignment="1" applyBorder="1" applyFont="1" applyNumberFormat="1">
      <alignment vertical="bottom"/>
    </xf>
    <xf borderId="10" fillId="2" fontId="3" numFmtId="165" xfId="0" applyAlignment="1" applyBorder="1" applyFont="1" applyNumberFormat="1">
      <alignment vertical="bottom"/>
    </xf>
    <xf borderId="11" fillId="2" fontId="3" numFmtId="165" xfId="0" applyAlignment="1" applyBorder="1" applyFont="1" applyNumberFormat="1">
      <alignment horizontal="right" vertical="bottom"/>
    </xf>
    <xf borderId="12" fillId="2" fontId="3" numFmtId="165" xfId="0" applyAlignment="1" applyBorder="1" applyFont="1" applyNumberFormat="1">
      <alignment horizontal="right" vertical="bottom"/>
    </xf>
    <xf borderId="4" fillId="2" fontId="3" numFmtId="165" xfId="0" applyAlignment="1" applyBorder="1" applyFont="1" applyNumberFormat="1">
      <alignment vertical="bottom"/>
    </xf>
    <xf borderId="5" fillId="2" fontId="3" numFmtId="165" xfId="0" applyAlignment="1" applyBorder="1" applyFont="1" applyNumberFormat="1">
      <alignment horizontal="right" vertical="bottom"/>
    </xf>
    <xf borderId="6" fillId="2" fontId="3" numFmtId="165" xfId="0" applyAlignment="1" applyBorder="1" applyFont="1" applyNumberFormat="1">
      <alignment horizontal="right" vertical="bottom"/>
    </xf>
    <xf borderId="1" fillId="2" fontId="26" numFmtId="170" xfId="0" applyAlignment="1" applyBorder="1" applyFont="1" applyNumberFormat="1">
      <alignment horizontal="center" vertical="bottom"/>
    </xf>
    <xf borderId="4" fillId="10" fontId="6" numFmtId="0" xfId="0" applyAlignment="1" applyBorder="1" applyFont="1">
      <alignment horizontal="center" vertical="bottom"/>
    </xf>
    <xf borderId="1" fillId="2" fontId="27" numFmtId="0" xfId="0" applyAlignment="1" applyBorder="1" applyFont="1">
      <alignment vertical="bottom"/>
    </xf>
    <xf borderId="15" fillId="2" fontId="9" numFmtId="0" xfId="0" applyAlignment="1" applyBorder="1" applyFont="1">
      <alignment horizontal="center" vertical="bottom"/>
    </xf>
    <xf borderId="24" fillId="2" fontId="9" numFmtId="0" xfId="0" applyAlignment="1" applyBorder="1" applyFont="1">
      <alignment horizontal="center" vertical="bottom"/>
    </xf>
    <xf borderId="16" fillId="2" fontId="9" numFmtId="0" xfId="0" applyAlignment="1" applyBorder="1" applyFont="1">
      <alignment horizontal="center" vertical="bottom"/>
    </xf>
    <xf borderId="25" fillId="2" fontId="11" numFmtId="0" xfId="0" applyAlignment="1" applyBorder="1" applyFont="1">
      <alignment vertical="bottom"/>
    </xf>
    <xf borderId="15" fillId="2" fontId="11" numFmtId="164" xfId="0" applyAlignment="1" applyBorder="1" applyFont="1" applyNumberFormat="1">
      <alignment horizontal="center" vertical="bottom"/>
    </xf>
    <xf borderId="24" fillId="2" fontId="11" numFmtId="164" xfId="0" applyAlignment="1" applyBorder="1" applyFont="1" applyNumberFormat="1">
      <alignment horizontal="center" vertical="bottom"/>
    </xf>
    <xf borderId="16" fillId="2" fontId="11" numFmtId="164" xfId="0" applyAlignment="1" applyBorder="1" applyFont="1" applyNumberFormat="1">
      <alignment horizontal="center" vertical="bottom"/>
    </xf>
    <xf borderId="26" fillId="2" fontId="11" numFmtId="164" xfId="0" applyAlignment="1" applyBorder="1" applyFont="1" applyNumberFormat="1">
      <alignment horizontal="center" vertical="bottom"/>
    </xf>
    <xf borderId="27" fillId="2" fontId="11" numFmtId="164" xfId="0" applyAlignment="1" applyBorder="1" applyFont="1" applyNumberFormat="1">
      <alignment horizontal="center" vertical="bottom"/>
    </xf>
    <xf borderId="28" fillId="2" fontId="11" numFmtId="164" xfId="0" applyAlignment="1" applyBorder="1" applyFont="1" applyNumberFormat="1">
      <alignment horizontal="center" vertical="bottom"/>
    </xf>
    <xf borderId="25" fillId="2" fontId="11" numFmtId="164" xfId="0" applyAlignment="1" applyBorder="1" applyFont="1" applyNumberFormat="1">
      <alignment horizontal="center" vertical="bottom"/>
    </xf>
    <xf borderId="29" fillId="2" fontId="16" numFmtId="0" xfId="0" applyAlignment="1" applyBorder="1" applyFont="1">
      <alignment vertical="bottom"/>
    </xf>
    <xf borderId="30" fillId="2" fontId="16" numFmtId="165" xfId="0" applyAlignment="1" applyBorder="1" applyFont="1" applyNumberFormat="1">
      <alignment vertical="bottom"/>
    </xf>
    <xf borderId="31" fillId="2" fontId="16" numFmtId="165" xfId="0" applyAlignment="1" applyBorder="1" applyFont="1" applyNumberFormat="1">
      <alignment vertical="bottom"/>
    </xf>
    <xf borderId="32" fillId="2" fontId="16" numFmtId="165" xfId="0" applyAlignment="1" applyBorder="1" applyFont="1" applyNumberFormat="1">
      <alignment vertical="bottom"/>
    </xf>
    <xf borderId="18" fillId="2" fontId="16" numFmtId="0" xfId="0" applyAlignment="1" applyBorder="1" applyFont="1">
      <alignment vertical="bottom"/>
    </xf>
    <xf borderId="17" fillId="2" fontId="16" numFmtId="0" xfId="0" applyAlignment="1" applyBorder="1" applyFont="1">
      <alignment vertical="bottom"/>
    </xf>
    <xf borderId="13" fillId="2" fontId="16" numFmtId="0" xfId="0" applyAlignment="1" applyBorder="1" applyFont="1">
      <alignment vertical="bottom"/>
    </xf>
    <xf borderId="1" fillId="8" fontId="2" numFmtId="0" xfId="0" applyAlignment="1" applyBorder="1" applyFont="1">
      <alignment vertical="bottom"/>
    </xf>
    <xf borderId="15" fillId="2" fontId="16" numFmtId="0" xfId="0" applyAlignment="1" applyBorder="1" applyFont="1">
      <alignment vertical="bottom"/>
    </xf>
    <xf borderId="24" fillId="2" fontId="16" numFmtId="0" xfId="0" applyAlignment="1" applyBorder="1" applyFont="1">
      <alignment vertical="bottom"/>
    </xf>
    <xf borderId="24" fillId="2" fontId="3" numFmtId="165" xfId="0" applyAlignment="1" applyBorder="1" applyFont="1" applyNumberFormat="1">
      <alignment horizontal="right" vertical="bottom"/>
    </xf>
    <xf borderId="16" fillId="2" fontId="3" numFmtId="165" xfId="0" applyAlignment="1" applyBorder="1" applyFont="1" applyNumberFormat="1">
      <alignment horizontal="right" vertical="bottom"/>
    </xf>
    <xf borderId="25" fillId="2" fontId="16" numFmtId="0" xfId="0" applyAlignment="1" applyBorder="1" applyFont="1">
      <alignment vertical="bottom"/>
    </xf>
    <xf borderId="11" fillId="2" fontId="16" numFmtId="0" xfId="0" applyAlignment="1" applyBorder="1" applyFont="1">
      <alignment vertical="bottom"/>
    </xf>
    <xf borderId="0" fillId="11" fontId="28" numFmtId="49" xfId="0" applyAlignment="1" applyFill="1" applyFont="1" applyNumberFormat="1">
      <alignment horizontal="center" readingOrder="0" vertical="center"/>
    </xf>
    <xf borderId="0" fillId="2" fontId="29" numFmtId="49" xfId="0" applyAlignment="1" applyFont="1" applyNumberFormat="1">
      <alignment vertical="bottom"/>
    </xf>
    <xf borderId="33" fillId="2" fontId="29" numFmtId="49" xfId="0" applyAlignment="1" applyBorder="1" applyFont="1" applyNumberFormat="1">
      <alignment vertical="bottom"/>
    </xf>
    <xf borderId="33" fillId="2" fontId="30" numFmtId="49" xfId="0" applyAlignment="1" applyBorder="1" applyFont="1" applyNumberFormat="1">
      <alignment horizontal="center" vertical="bottom"/>
    </xf>
    <xf borderId="0" fillId="2" fontId="31" numFmtId="49" xfId="0" applyAlignment="1" applyFont="1" applyNumberFormat="1">
      <alignment horizontal="center" vertical="bottom"/>
    </xf>
    <xf borderId="0" fillId="12" fontId="29" numFmtId="49" xfId="0" applyAlignment="1" applyFill="1" applyFont="1" applyNumberFormat="1">
      <alignment vertical="bottom"/>
    </xf>
    <xf borderId="0" fillId="12" fontId="29" numFmtId="49" xfId="0" applyAlignment="1" applyFont="1" applyNumberFormat="1">
      <alignment horizontal="center" vertical="bottom"/>
    </xf>
    <xf borderId="0" fillId="12" fontId="31" numFmtId="49" xfId="0" applyAlignment="1" applyFont="1" applyNumberFormat="1">
      <alignment horizontal="center" vertical="bottom"/>
    </xf>
    <xf borderId="0" fillId="12" fontId="29" numFmtId="0" xfId="0" applyAlignment="1" applyFont="1">
      <alignment vertical="bottom"/>
    </xf>
    <xf borderId="0" fillId="12" fontId="29" numFmtId="0" xfId="0" applyAlignment="1" applyFont="1">
      <alignment horizontal="center" vertical="bottom"/>
    </xf>
    <xf borderId="0" fillId="12" fontId="31" numFmtId="0" xfId="0" applyAlignment="1" applyFont="1">
      <alignment horizontal="center" vertical="bottom"/>
    </xf>
    <xf borderId="0" fillId="0" fontId="29" numFmtId="0" xfId="0" applyAlignment="1" applyFont="1">
      <alignment vertical="bottom"/>
    </xf>
    <xf borderId="0" fillId="0" fontId="29" numFmtId="171" xfId="0" applyAlignment="1" applyFont="1" applyNumberFormat="1">
      <alignment horizontal="right" vertical="bottom"/>
    </xf>
    <xf borderId="0" fillId="13" fontId="29" numFmtId="171" xfId="0" applyAlignment="1" applyFill="1" applyFont="1" applyNumberFormat="1">
      <alignment horizontal="right" vertical="bottom"/>
    </xf>
    <xf borderId="0" fillId="2" fontId="31" numFmtId="171" xfId="0" applyAlignment="1" applyFont="1" applyNumberFormat="1">
      <alignment horizontal="right" vertical="bottom"/>
    </xf>
    <xf borderId="0" fillId="0" fontId="32" numFmtId="0" xfId="0" applyAlignment="1" applyFont="1">
      <alignment vertical="bottom"/>
    </xf>
    <xf borderId="0" fillId="13" fontId="29" numFmtId="0" xfId="0" applyAlignment="1" applyFont="1">
      <alignment vertical="bottom"/>
    </xf>
    <xf borderId="0" fillId="2" fontId="31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1" numFmtId="0" xfId="0" applyAlignment="1" applyFont="1">
      <alignment horizontal="center" vertical="bottom"/>
    </xf>
    <xf borderId="0" fillId="14" fontId="31" numFmtId="10" xfId="0" applyAlignment="1" applyFill="1" applyFont="1" applyNumberFormat="1">
      <alignment horizontal="right" vertical="bottom"/>
    </xf>
    <xf borderId="0" fillId="13" fontId="31" numFmtId="10" xfId="0" applyAlignment="1" applyFont="1" applyNumberFormat="1">
      <alignment horizontal="right" vertical="bottom"/>
    </xf>
    <xf borderId="0" fillId="2" fontId="31" numFmtId="10" xfId="0" applyAlignment="1" applyFont="1" applyNumberFormat="1">
      <alignment horizontal="right" vertical="bottom"/>
    </xf>
    <xf borderId="0" fillId="0" fontId="31" numFmtId="10" xfId="0" applyAlignment="1" applyFont="1" applyNumberFormat="1">
      <alignment horizontal="right" vertical="bottom"/>
    </xf>
    <xf borderId="31" fillId="0" fontId="31" numFmtId="0" xfId="0" applyAlignment="1" applyBorder="1" applyFont="1">
      <alignment horizontal="center" vertical="bottom"/>
    </xf>
    <xf borderId="31" fillId="14" fontId="31" numFmtId="10" xfId="0" applyAlignment="1" applyBorder="1" applyFont="1" applyNumberFormat="1">
      <alignment horizontal="right" vertical="bottom"/>
    </xf>
    <xf borderId="31" fillId="0" fontId="31" numFmtId="0" xfId="0" applyAlignment="1" applyBorder="1" applyFont="1">
      <alignment vertical="bottom"/>
    </xf>
    <xf borderId="31" fillId="13" fontId="31" numFmtId="10" xfId="0" applyAlignment="1" applyBorder="1" applyFont="1" applyNumberFormat="1">
      <alignment horizontal="right" vertical="bottom"/>
    </xf>
    <xf borderId="31" fillId="2" fontId="31" numFmtId="10" xfId="0" applyAlignment="1" applyBorder="1" applyFont="1" applyNumberFormat="1">
      <alignment horizontal="right" vertical="bottom"/>
    </xf>
    <xf borderId="34" fillId="0" fontId="32" numFmtId="0" xfId="0" applyAlignment="1" applyBorder="1" applyFont="1">
      <alignment vertical="bottom"/>
    </xf>
    <xf borderId="34" fillId="0" fontId="29" numFmtId="0" xfId="0" applyAlignment="1" applyBorder="1" applyFont="1">
      <alignment vertical="bottom"/>
    </xf>
    <xf borderId="0" fillId="15" fontId="29" numFmtId="4" xfId="0" applyAlignment="1" applyFill="1" applyFont="1" applyNumberFormat="1">
      <alignment vertical="bottom"/>
    </xf>
    <xf borderId="0" fillId="2" fontId="29" numFmtId="4" xfId="0" applyAlignment="1" applyFont="1" applyNumberFormat="1">
      <alignment vertical="bottom"/>
    </xf>
    <xf borderId="0" fillId="0" fontId="29" numFmtId="10" xfId="0" applyAlignment="1" applyFont="1" applyNumberFormat="1">
      <alignment vertical="bottom"/>
    </xf>
    <xf borderId="0" fillId="2" fontId="29" numFmtId="4" xfId="0" applyAlignment="1" applyFont="1" applyNumberFormat="1">
      <alignment horizontal="right" vertical="bottom"/>
    </xf>
    <xf borderId="0" fillId="13" fontId="29" numFmtId="4" xfId="0" applyAlignment="1" applyFont="1" applyNumberFormat="1">
      <alignment horizontal="right" vertical="bottom"/>
    </xf>
    <xf borderId="0" fillId="0" fontId="33" numFmtId="0" xfId="0" applyFont="1"/>
    <xf borderId="0" fillId="16" fontId="29" numFmtId="4" xfId="0" applyAlignment="1" applyFill="1" applyFont="1" applyNumberFormat="1">
      <alignment vertical="bottom"/>
    </xf>
    <xf borderId="0" fillId="16" fontId="29" numFmtId="0" xfId="0" applyAlignment="1" applyFont="1">
      <alignment horizontal="center"/>
    </xf>
    <xf borderId="0" fillId="16" fontId="29" numFmtId="4" xfId="0" applyAlignment="1" applyFont="1" applyNumberFormat="1">
      <alignment horizontal="right" vertical="bottom"/>
    </xf>
    <xf borderId="0" fillId="16" fontId="31" numFmtId="4" xfId="0" applyAlignment="1" applyFont="1" applyNumberFormat="1">
      <alignment horizontal="right" vertical="bottom"/>
    </xf>
    <xf borderId="0" fillId="16" fontId="29" numFmtId="166" xfId="0" applyFont="1" applyNumberFormat="1"/>
    <xf borderId="0" fillId="2" fontId="29" numFmtId="0" xfId="0" applyAlignment="1" applyFont="1">
      <alignment vertical="bottom"/>
    </xf>
    <xf borderId="0" fillId="2" fontId="29" numFmtId="0" xfId="0" applyFont="1"/>
    <xf borderId="0" fillId="16" fontId="29" numFmtId="0" xfId="0" applyFont="1"/>
    <xf borderId="0" fillId="16" fontId="16" numFmtId="165" xfId="0" applyFont="1" applyNumberFormat="1"/>
    <xf borderId="0" fillId="16" fontId="29" numFmtId="10" xfId="0" applyFont="1" applyNumberFormat="1"/>
    <xf borderId="0" fillId="16" fontId="31" numFmtId="166" xfId="0" applyFont="1" applyNumberFormat="1"/>
    <xf borderId="0" fillId="2" fontId="34" numFmtId="0" xfId="0" applyAlignment="1" applyFont="1">
      <alignment vertical="bottom"/>
    </xf>
    <xf borderId="0" fillId="16" fontId="34" numFmtId="0" xfId="0" applyAlignment="1" applyFont="1">
      <alignment vertical="bottom"/>
    </xf>
    <xf borderId="0" fillId="16" fontId="34" numFmtId="0" xfId="0" applyAlignment="1" applyFont="1">
      <alignment horizontal="center"/>
    </xf>
    <xf borderId="0" fillId="16" fontId="34" numFmtId="4" xfId="0" applyAlignment="1" applyFont="1" applyNumberFormat="1">
      <alignment vertical="bottom"/>
    </xf>
    <xf borderId="0" fillId="16" fontId="34" numFmtId="4" xfId="0" applyAlignment="1" applyFont="1" applyNumberFormat="1">
      <alignment horizontal="right" vertical="bottom"/>
    </xf>
    <xf borderId="0" fillId="2" fontId="35" numFmtId="10" xfId="0" applyAlignment="1" applyFont="1" applyNumberFormat="1">
      <alignment vertical="bottom"/>
    </xf>
    <xf borderId="0" fillId="16" fontId="35" numFmtId="0" xfId="0" applyAlignment="1" applyFont="1">
      <alignment vertical="bottom"/>
    </xf>
    <xf borderId="0" fillId="16" fontId="35" numFmtId="0" xfId="0" applyAlignment="1" applyFont="1">
      <alignment horizontal="center" vertical="bottom"/>
    </xf>
    <xf borderId="0" fillId="16" fontId="35" numFmtId="10" xfId="0" applyAlignment="1" applyFont="1" applyNumberFormat="1">
      <alignment horizontal="right" vertical="bottom"/>
    </xf>
    <xf borderId="0" fillId="16" fontId="35" numFmtId="10" xfId="0" applyAlignment="1" applyFont="1" applyNumberFormat="1">
      <alignment vertical="bottom"/>
    </xf>
    <xf borderId="0" fillId="16" fontId="31" numFmtId="10" xfId="0" applyAlignment="1" applyFont="1" applyNumberFormat="1">
      <alignment horizontal="right" vertical="bottom"/>
    </xf>
    <xf borderId="0" fillId="0" fontId="29" numFmtId="4" xfId="0" applyAlignment="1" applyFont="1" applyNumberFormat="1">
      <alignment vertical="bottom"/>
    </xf>
    <xf borderId="0" fillId="15" fontId="32" numFmtId="0" xfId="0" applyAlignment="1" applyFont="1">
      <alignment vertical="bottom"/>
    </xf>
    <xf borderId="0" fillId="16" fontId="29" numFmtId="0" xfId="0" applyAlignment="1" applyFont="1">
      <alignment vertical="bottom"/>
    </xf>
    <xf borderId="0" fillId="16" fontId="31" numFmtId="0" xfId="0" applyAlignment="1" applyFont="1">
      <alignment vertical="bottom"/>
    </xf>
    <xf borderId="0" fillId="16" fontId="29" numFmtId="166" xfId="0" applyAlignment="1" applyFont="1" applyNumberFormat="1">
      <alignment vertical="bottom"/>
    </xf>
    <xf borderId="0" fillId="0" fontId="36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16" fontId="34" numFmtId="166" xfId="0" applyAlignment="1" applyFont="1" applyNumberFormat="1">
      <alignment vertical="bottom"/>
    </xf>
    <xf borderId="0" fillId="0" fontId="37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16" fontId="35" numFmtId="4" xfId="0" applyAlignment="1" applyFont="1" applyNumberFormat="1">
      <alignment vertical="bottom"/>
    </xf>
    <xf borderId="0" fillId="16" fontId="35" numFmtId="166" xfId="0" applyAlignment="1" applyFont="1" applyNumberFormat="1">
      <alignment vertical="bottom"/>
    </xf>
    <xf borderId="0" fillId="0" fontId="29" numFmtId="166" xfId="0" applyAlignment="1" applyFont="1" applyNumberFormat="1">
      <alignment vertical="bottom"/>
    </xf>
    <xf borderId="0" fillId="2" fontId="38" numFmtId="4" xfId="0" applyAlignment="1" applyFont="1" applyNumberFormat="1">
      <alignment vertical="bottom"/>
    </xf>
    <xf borderId="0" fillId="0" fontId="38" numFmtId="0" xfId="0" applyAlignment="1" applyFont="1">
      <alignment vertical="bottom"/>
    </xf>
    <xf borderId="0" fillId="17" fontId="29" numFmtId="4" xfId="0" applyAlignment="1" applyFill="1" applyFont="1" applyNumberFormat="1">
      <alignment vertical="bottom"/>
    </xf>
    <xf borderId="0" fillId="17" fontId="29" numFmtId="0" xfId="0" applyAlignment="1" applyFont="1">
      <alignment horizontal="center"/>
    </xf>
    <xf borderId="0" fillId="17" fontId="29" numFmtId="0" xfId="0" applyAlignment="1" applyFont="1">
      <alignment vertical="bottom"/>
    </xf>
    <xf borderId="0" fillId="17" fontId="31" numFmtId="0" xfId="0" applyAlignment="1" applyFont="1">
      <alignment vertical="bottom"/>
    </xf>
    <xf borderId="0" fillId="17" fontId="29" numFmtId="166" xfId="0" applyAlignment="1" applyFont="1" applyNumberFormat="1">
      <alignment vertical="bottom"/>
    </xf>
    <xf borderId="0" fillId="17" fontId="29" numFmtId="0" xfId="0" applyFont="1"/>
    <xf borderId="0" fillId="17" fontId="16" numFmtId="165" xfId="0" applyFont="1" applyNumberFormat="1"/>
    <xf borderId="0" fillId="0" fontId="39" numFmtId="0" xfId="0" applyAlignment="1" applyFont="1">
      <alignment vertical="bottom"/>
    </xf>
    <xf borderId="0" fillId="17" fontId="34" numFmtId="0" xfId="0" applyAlignment="1" applyFont="1">
      <alignment vertical="bottom"/>
    </xf>
    <xf borderId="0" fillId="17" fontId="34" numFmtId="0" xfId="0" applyAlignment="1" applyFont="1">
      <alignment horizontal="center"/>
    </xf>
    <xf borderId="0" fillId="17" fontId="34" numFmtId="4" xfId="0" applyAlignment="1" applyFont="1" applyNumberFormat="1">
      <alignment vertical="bottom"/>
    </xf>
    <xf borderId="0" fillId="17" fontId="34" numFmtId="166" xfId="0" applyAlignment="1" applyFont="1" applyNumberFormat="1">
      <alignment vertical="bottom"/>
    </xf>
    <xf borderId="0" fillId="0" fontId="40" numFmtId="0" xfId="0" applyAlignment="1" applyFont="1">
      <alignment vertical="bottom"/>
    </xf>
    <xf borderId="0" fillId="17" fontId="35" numFmtId="0" xfId="0" applyAlignment="1" applyFont="1">
      <alignment vertical="bottom"/>
    </xf>
    <xf borderId="0" fillId="17" fontId="35" numFmtId="0" xfId="0" applyAlignment="1" applyFont="1">
      <alignment horizontal="center" vertical="bottom"/>
    </xf>
    <xf borderId="0" fillId="17" fontId="35" numFmtId="4" xfId="0" applyAlignment="1" applyFont="1" applyNumberFormat="1">
      <alignment vertical="bottom"/>
    </xf>
    <xf borderId="0" fillId="17" fontId="35" numFmtId="166" xfId="0" applyAlignment="1" applyFont="1" applyNumberFormat="1">
      <alignment vertical="bottom"/>
    </xf>
    <xf borderId="0" fillId="17" fontId="35" numFmtId="10" xfId="0" applyAlignment="1" applyFont="1" applyNumberFormat="1">
      <alignment horizontal="right" vertical="bottom"/>
    </xf>
    <xf borderId="1" fillId="2" fontId="38" numFmtId="0" xfId="0" applyAlignment="1" applyBorder="1" applyFont="1">
      <alignment vertical="bottom"/>
    </xf>
    <xf borderId="0" fillId="17" fontId="16" numFmtId="4" xfId="0" applyFont="1" applyNumberFormat="1"/>
    <xf borderId="0" fillId="0" fontId="41" numFmtId="0" xfId="0" applyAlignment="1" applyFont="1">
      <alignment vertical="bottom"/>
    </xf>
    <xf borderId="0" fillId="0" fontId="41" numFmtId="4" xfId="0" applyAlignment="1" applyFont="1" applyNumberFormat="1">
      <alignment vertical="bottom"/>
    </xf>
    <xf borderId="0" fillId="13" fontId="41" numFmtId="0" xfId="0" applyAlignment="1" applyFont="1">
      <alignment vertical="bottom"/>
    </xf>
    <xf borderId="0" fillId="2" fontId="42" numFmtId="4" xfId="0" applyAlignment="1" applyFont="1" applyNumberFormat="1">
      <alignment vertical="bottom"/>
    </xf>
    <xf borderId="31" fillId="0" fontId="43" numFmtId="0" xfId="0" applyAlignment="1" applyBorder="1" applyFont="1">
      <alignment vertical="bottom"/>
    </xf>
    <xf borderId="31" fillId="0" fontId="44" numFmtId="0" xfId="0" applyAlignment="1" applyBorder="1" applyFont="1">
      <alignment vertical="bottom"/>
    </xf>
    <xf borderId="31" fillId="0" fontId="44" numFmtId="4" xfId="0" applyAlignment="1" applyBorder="1" applyFont="1" applyNumberFormat="1">
      <alignment vertical="bottom"/>
    </xf>
    <xf borderId="31" fillId="13" fontId="44" numFmtId="0" xfId="0" applyAlignment="1" applyBorder="1" applyFont="1">
      <alignment vertical="bottom"/>
    </xf>
    <xf borderId="31" fillId="2" fontId="31" numFmtId="0" xfId="0" applyAlignment="1" applyBorder="1" applyFont="1">
      <alignment vertical="bottom"/>
    </xf>
    <xf borderId="31" fillId="2" fontId="44" numFmtId="10" xfId="0" applyAlignment="1" applyBorder="1" applyFont="1" applyNumberFormat="1">
      <alignment horizontal="right" vertical="bottom"/>
    </xf>
    <xf borderId="0" fillId="0" fontId="45" numFmtId="166" xfId="0" applyAlignment="1" applyFont="1" applyNumberFormat="1">
      <alignment vertical="bottom"/>
    </xf>
    <xf borderId="0" fillId="0" fontId="46" numFmtId="166" xfId="0" applyAlignment="1" applyFont="1" applyNumberFormat="1">
      <alignment vertical="bottom"/>
    </xf>
    <xf borderId="0" fillId="0" fontId="46" numFmtId="166" xfId="0" applyAlignment="1" applyFont="1" applyNumberFormat="1">
      <alignment horizontal="center" vertical="bottom"/>
    </xf>
    <xf borderId="0" fillId="2" fontId="45" numFmtId="166" xfId="0" applyAlignment="1" applyFont="1" applyNumberFormat="1">
      <alignment vertical="bottom"/>
    </xf>
    <xf borderId="0" fillId="13" fontId="45" numFmtId="166" xfId="0" applyAlignment="1" applyFont="1" applyNumberFormat="1">
      <alignment horizontal="right" vertical="bottom"/>
    </xf>
    <xf borderId="0" fillId="2" fontId="42" numFmtId="166" xfId="0" applyAlignment="1" applyFont="1" applyNumberFormat="1">
      <alignment horizontal="right" vertical="bottom"/>
    </xf>
    <xf borderId="0" fillId="0" fontId="46" numFmtId="166" xfId="0" applyAlignment="1" applyFont="1" applyNumberFormat="1">
      <alignment horizontal="right" vertical="bottom"/>
    </xf>
    <xf borderId="0" fillId="0" fontId="47" numFmtId="10" xfId="0" applyAlignment="1" applyFont="1" applyNumberFormat="1">
      <alignment vertical="bottom"/>
    </xf>
    <xf borderId="0" fillId="0" fontId="48" numFmtId="0" xfId="0" applyAlignment="1" applyFont="1">
      <alignment vertical="bottom"/>
    </xf>
    <xf borderId="0" fillId="0" fontId="48" numFmtId="10" xfId="0" applyAlignment="1" applyFont="1" applyNumberFormat="1">
      <alignment horizontal="center" vertical="bottom"/>
    </xf>
    <xf borderId="0" fillId="2" fontId="47" numFmtId="10" xfId="0" applyAlignment="1" applyFont="1" applyNumberFormat="1">
      <alignment vertical="bottom"/>
    </xf>
    <xf borderId="0" fillId="13" fontId="47" numFmtId="10" xfId="0" applyAlignment="1" applyFont="1" applyNumberFormat="1">
      <alignment horizontal="right" vertical="bottom"/>
    </xf>
    <xf borderId="0" fillId="0" fontId="48" numFmtId="10" xfId="0" applyAlignment="1" applyFont="1" applyNumberFormat="1">
      <alignment horizontal="right" vertical="bottom"/>
    </xf>
    <xf borderId="0" fillId="2" fontId="48" numFmtId="10" xfId="0" applyAlignment="1" applyFont="1" applyNumberFormat="1">
      <alignment vertical="bottom"/>
    </xf>
    <xf borderId="0" fillId="2" fontId="47" numFmtId="10" xfId="0" applyAlignment="1" applyFont="1" applyNumberFormat="1">
      <alignment horizontal="right" vertical="bottom"/>
    </xf>
    <xf borderId="0" fillId="2" fontId="48" numFmtId="10" xfId="0" applyAlignment="1" applyFont="1" applyNumberFormat="1">
      <alignment horizontal="right" vertical="bottom"/>
    </xf>
    <xf borderId="0" fillId="15" fontId="29" numFmtId="166" xfId="0" applyAlignment="1" applyFont="1" applyNumberFormat="1">
      <alignment vertical="bottom"/>
    </xf>
    <xf borderId="0" fillId="2" fontId="29" numFmtId="10" xfId="0" applyAlignment="1" applyFont="1" applyNumberFormat="1">
      <alignment horizontal="right" vertical="bottom"/>
    </xf>
    <xf borderId="0" fillId="2" fontId="29" numFmtId="10" xfId="0" applyAlignment="1" applyFont="1" applyNumberFormat="1">
      <alignment vertical="bottom"/>
    </xf>
    <xf borderId="0" fillId="2" fontId="29" numFmtId="166" xfId="0" applyAlignment="1" applyFont="1" applyNumberFormat="1">
      <alignment vertical="bottom"/>
    </xf>
    <xf borderId="0" fillId="2" fontId="29" numFmtId="166" xfId="0" applyAlignment="1" applyFont="1" applyNumberFormat="1">
      <alignment horizontal="right" vertical="bottom"/>
    </xf>
    <xf borderId="0" fillId="0" fontId="29" numFmtId="166" xfId="0" applyAlignment="1" applyFont="1" applyNumberFormat="1">
      <alignment horizontal="center" vertical="bottom"/>
    </xf>
    <xf borderId="0" fillId="2" fontId="29" numFmtId="9" xfId="0" applyAlignment="1" applyFont="1" applyNumberFormat="1">
      <alignment horizontal="right" vertical="bottom"/>
    </xf>
    <xf borderId="31" fillId="2" fontId="29" numFmtId="166" xfId="0" applyAlignment="1" applyBorder="1" applyFont="1" applyNumberFormat="1">
      <alignment vertical="bottom"/>
    </xf>
    <xf borderId="31" fillId="2" fontId="29" numFmtId="166" xfId="0" applyAlignment="1" applyBorder="1" applyFont="1" applyNumberFormat="1">
      <alignment horizontal="right" vertical="bottom"/>
    </xf>
    <xf borderId="31" fillId="0" fontId="29" numFmtId="166" xfId="0" applyAlignment="1" applyBorder="1" applyFont="1" applyNumberFormat="1">
      <alignment horizontal="center" vertical="bottom"/>
    </xf>
    <xf borderId="31" fillId="2" fontId="29" numFmtId="10" xfId="0" applyAlignment="1" applyBorder="1" applyFont="1" applyNumberFormat="1">
      <alignment horizontal="right" vertical="bottom"/>
    </xf>
    <xf borderId="31" fillId="2" fontId="29" numFmtId="0" xfId="0" applyAlignment="1" applyBorder="1" applyFont="1">
      <alignment vertical="bottom"/>
    </xf>
    <xf borderId="31" fillId="2" fontId="29" numFmtId="10" xfId="0" applyAlignment="1" applyBorder="1" applyFont="1" applyNumberFormat="1">
      <alignment vertical="bottom"/>
    </xf>
    <xf borderId="31" fillId="2" fontId="29" numFmtId="9" xfId="0" applyAlignment="1" applyBorder="1" applyFont="1" applyNumberFormat="1">
      <alignment horizontal="right" vertical="bottom"/>
    </xf>
    <xf borderId="0" fillId="0" fontId="49" numFmtId="166" xfId="0" applyAlignment="1" applyFont="1" applyNumberFormat="1">
      <alignment vertical="bottom"/>
    </xf>
    <xf borderId="0" fillId="0" fontId="29" numFmtId="0" xfId="0" applyAlignment="1" applyFont="1">
      <alignment horizontal="center" vertical="bottom"/>
    </xf>
    <xf borderId="0" fillId="0" fontId="50" numFmtId="166" xfId="0" applyAlignment="1" applyFont="1" applyNumberFormat="1">
      <alignment horizontal="right" vertical="bottom"/>
    </xf>
    <xf borderId="0" fillId="13" fontId="29" numFmtId="166" xfId="0" applyAlignment="1" applyFont="1" applyNumberFormat="1">
      <alignment horizontal="right" vertical="bottom"/>
    </xf>
    <xf borderId="0" fillId="2" fontId="31" numFmtId="166" xfId="0" applyAlignment="1" applyFont="1" applyNumberFormat="1">
      <alignment horizontal="right" vertical="bottom"/>
    </xf>
    <xf borderId="0" fillId="0" fontId="29" numFmtId="166" xfId="0" applyAlignment="1" applyFont="1" applyNumberFormat="1">
      <alignment horizontal="right" vertical="bottom"/>
    </xf>
    <xf borderId="0" fillId="0" fontId="29" numFmtId="0" xfId="0" applyFont="1"/>
    <xf borderId="0" fillId="0" fontId="51" numFmtId="0" xfId="0" applyAlignment="1" applyFont="1">
      <alignment vertical="bottom"/>
    </xf>
    <xf borderId="0" fillId="2" fontId="50" numFmtId="166" xfId="0" applyAlignment="1" applyFont="1" applyNumberFormat="1">
      <alignment horizontal="right" vertical="bottom"/>
    </xf>
    <xf borderId="0" fillId="0" fontId="49" numFmtId="10" xfId="0" applyAlignment="1" applyFont="1" applyNumberFormat="1">
      <alignment vertical="bottom"/>
    </xf>
    <xf borderId="0" fillId="0" fontId="49" numFmtId="10" xfId="0" applyAlignment="1" applyFont="1" applyNumberFormat="1">
      <alignment horizontal="center" vertical="bottom"/>
    </xf>
    <xf borderId="0" fillId="13" fontId="29" numFmtId="10" xfId="0" applyAlignment="1" applyFont="1" applyNumberFormat="1">
      <alignment vertical="bottom"/>
    </xf>
    <xf borderId="0" fillId="2" fontId="31" numFmtId="10" xfId="0" applyAlignment="1" applyFont="1" applyNumberFormat="1">
      <alignment vertical="bottom"/>
    </xf>
    <xf borderId="0" fillId="0" fontId="49" numFmtId="0" xfId="0" applyAlignment="1" applyFont="1">
      <alignment vertical="bottom"/>
    </xf>
    <xf borderId="0" fillId="14" fontId="29" numFmtId="10" xfId="0" applyAlignment="1" applyFont="1" applyNumberFormat="1">
      <alignment horizontal="right" vertical="bottom"/>
    </xf>
    <xf borderId="0" fillId="0" fontId="50" numFmtId="10" xfId="0" applyAlignment="1" applyFont="1" applyNumberFormat="1">
      <alignment horizontal="right" vertical="bottom"/>
    </xf>
    <xf borderId="0" fillId="14" fontId="49" numFmtId="10" xfId="0" applyAlignment="1" applyFont="1" applyNumberFormat="1">
      <alignment horizontal="right" vertical="bottom"/>
    </xf>
    <xf borderId="0" fillId="13" fontId="49" numFmtId="10" xfId="0" applyAlignment="1" applyFont="1" applyNumberFormat="1">
      <alignment horizontal="right" vertical="bottom"/>
    </xf>
    <xf borderId="0" fillId="2" fontId="49" numFmtId="10" xfId="0" applyAlignment="1" applyFont="1" applyNumberFormat="1">
      <alignment horizontal="right" vertical="bottom"/>
    </xf>
    <xf borderId="0" fillId="0" fontId="49" numFmtId="10" xfId="0" applyAlignment="1" applyFont="1" applyNumberFormat="1">
      <alignment horizontal="right" vertical="bottom"/>
    </xf>
    <xf borderId="31" fillId="0" fontId="29" numFmtId="0" xfId="0" applyAlignment="1" applyBorder="1" applyFont="1">
      <alignment vertical="bottom"/>
    </xf>
    <xf borderId="31" fillId="0" fontId="32" numFmtId="0" xfId="0" applyAlignment="1" applyBorder="1" applyFont="1">
      <alignment vertical="bottom"/>
    </xf>
    <xf borderId="31" fillId="0" fontId="50" numFmtId="166" xfId="0" applyAlignment="1" applyBorder="1" applyFont="1" applyNumberFormat="1">
      <alignment horizontal="right" vertical="bottom"/>
    </xf>
    <xf borderId="0" fillId="14" fontId="29" numFmtId="0" xfId="0" applyAlignment="1" applyFont="1">
      <alignment horizontal="right" vertical="bottom"/>
    </xf>
    <xf borderId="0" fillId="0" fontId="29" numFmtId="0" xfId="0" applyAlignment="1" applyFont="1">
      <alignment horizontal="right" vertical="bottom"/>
    </xf>
    <xf borderId="0" fillId="13" fontId="29" numFmtId="0" xfId="0" applyAlignment="1" applyFont="1">
      <alignment horizontal="right" vertical="bottom"/>
    </xf>
    <xf borderId="0" fillId="2" fontId="35" numFmtId="166" xfId="0" applyFont="1" applyNumberFormat="1"/>
    <xf borderId="0" fillId="2" fontId="35" numFmtId="166" xfId="0" applyAlignment="1" applyFont="1" applyNumberFormat="1">
      <alignment horizontal="right"/>
    </xf>
    <xf borderId="0" fillId="2" fontId="35" numFmtId="4" xfId="0" applyAlignment="1" applyFont="1" applyNumberFormat="1">
      <alignment horizontal="right" vertical="bottom"/>
    </xf>
    <xf borderId="0" fillId="0" fontId="49" numFmtId="0" xfId="0" applyAlignment="1" applyFont="1">
      <alignment horizontal="center" vertical="bottom"/>
    </xf>
    <xf borderId="0" fillId="14" fontId="49" numFmtId="166" xfId="0" applyAlignment="1" applyFont="1" applyNumberFormat="1">
      <alignment vertical="bottom"/>
    </xf>
    <xf borderId="0" fillId="2" fontId="49" numFmtId="0" xfId="0" applyAlignment="1" applyFont="1">
      <alignment vertical="bottom"/>
    </xf>
    <xf borderId="0" fillId="14" fontId="29" numFmtId="172" xfId="0" applyAlignment="1" applyFont="1" applyNumberFormat="1">
      <alignment vertical="bottom"/>
    </xf>
    <xf borderId="0" fillId="2" fontId="31" numFmtId="0" xfId="0" applyFont="1"/>
    <xf borderId="0" fillId="14" fontId="49" numFmtId="166" xfId="0" applyFont="1" applyNumberFormat="1"/>
    <xf borderId="0" fillId="14" fontId="49" numFmtId="166" xfId="0" applyAlignment="1" applyFont="1" applyNumberFormat="1">
      <alignment horizontal="right"/>
    </xf>
    <xf borderId="0" fillId="0" fontId="29" numFmtId="1" xfId="0" applyAlignment="1" applyFont="1" applyNumberFormat="1">
      <alignment vertical="bottom"/>
    </xf>
    <xf borderId="0" fillId="14" fontId="29" numFmtId="3" xfId="0" applyAlignment="1" applyFont="1" applyNumberFormat="1">
      <alignment vertical="bottom"/>
    </xf>
    <xf borderId="0" fillId="0" fontId="52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0" fontId="54" numFmtId="166" xfId="0" applyAlignment="1" applyFont="1" applyNumberFormat="1">
      <alignment vertical="bottom"/>
    </xf>
    <xf borderId="0" fillId="2" fontId="52" numFmtId="0" xfId="0" applyAlignment="1" applyFont="1">
      <alignment vertical="bottom"/>
    </xf>
    <xf borderId="0" fillId="2" fontId="42" numFmtId="0" xfId="0" applyAlignment="1" applyFont="1">
      <alignment vertical="bottom"/>
    </xf>
    <xf borderId="31" fillId="0" fontId="14" numFmtId="0" xfId="0" applyBorder="1" applyFont="1"/>
    <xf borderId="31" fillId="0" fontId="29" numFmtId="166" xfId="0" applyAlignment="1" applyBorder="1" applyFont="1" applyNumberFormat="1">
      <alignment vertical="bottom"/>
    </xf>
    <xf borderId="31" fillId="2" fontId="31" numFmtId="166" xfId="0" applyAlignment="1" applyBorder="1" applyFont="1" applyNumberFormat="1">
      <alignment vertical="bottom"/>
    </xf>
    <xf borderId="0" fillId="2" fontId="29" numFmtId="4" xfId="0" applyAlignment="1" applyFont="1" applyNumberFormat="1">
      <alignment horizontal="center" vertical="bottom"/>
    </xf>
    <xf borderId="0" fillId="2" fontId="29" numFmtId="3" xfId="0" applyAlignment="1" applyFont="1" applyNumberFormat="1">
      <alignment horizontal="center" vertical="bottom"/>
    </xf>
    <xf borderId="0" fillId="0" fontId="31" numFmtId="166" xfId="0" applyAlignment="1" applyFont="1" applyNumberFormat="1">
      <alignment horizontal="right" vertical="bottom"/>
    </xf>
    <xf borderId="0" fillId="2" fontId="29" numFmtId="172" xfId="0" applyAlignment="1" applyFont="1" applyNumberFormat="1">
      <alignment horizontal="center" vertical="bottom"/>
    </xf>
    <xf borderId="0" fillId="2" fontId="55" numFmtId="166" xfId="0" applyAlignment="1" applyFont="1" applyNumberFormat="1">
      <alignment horizontal="right" vertical="bottom"/>
    </xf>
    <xf borderId="0" fillId="0" fontId="56" numFmtId="166" xfId="0" applyAlignment="1" applyFont="1" applyNumberFormat="1">
      <alignment vertical="bottom"/>
    </xf>
    <xf borderId="0" fillId="0" fontId="56" numFmtId="0" xfId="0" applyAlignment="1" applyFont="1">
      <alignment vertical="bottom"/>
    </xf>
    <xf borderId="0" fillId="0" fontId="56" numFmtId="166" xfId="0" applyAlignment="1" applyFont="1" applyNumberFormat="1">
      <alignment horizontal="center" vertical="bottom"/>
    </xf>
    <xf borderId="0" fillId="2" fontId="56" numFmtId="172" xfId="0" applyAlignment="1" applyFont="1" applyNumberFormat="1">
      <alignment horizontal="right" vertical="bottom"/>
    </xf>
    <xf borderId="0" fillId="2" fontId="56" numFmtId="166" xfId="0" applyAlignment="1" applyFont="1" applyNumberFormat="1">
      <alignment vertical="bottom"/>
    </xf>
    <xf borderId="0" fillId="2" fontId="56" numFmtId="166" xfId="0" applyAlignment="1" applyFont="1" applyNumberFormat="1">
      <alignment horizontal="right" vertical="bottom"/>
    </xf>
    <xf borderId="0" fillId="2" fontId="57" numFmtId="166" xfId="0" applyAlignment="1" applyFont="1" applyNumberFormat="1">
      <alignment horizontal="right" vertical="bottom"/>
    </xf>
    <xf borderId="0" fillId="2" fontId="29" numFmtId="172" xfId="0" applyAlignment="1" applyFont="1" applyNumberFormat="1">
      <alignment horizontal="right" vertical="bottom"/>
    </xf>
    <xf borderId="0" fillId="0" fontId="36" numFmtId="166" xfId="0" applyAlignment="1" applyFont="1" applyNumberFormat="1">
      <alignment vertical="bottom"/>
    </xf>
    <xf borderId="0" fillId="2" fontId="36" numFmtId="172" xfId="0" applyAlignment="1" applyFont="1" applyNumberFormat="1">
      <alignment horizontal="right" vertical="bottom"/>
    </xf>
    <xf borderId="0" fillId="2" fontId="36" numFmtId="166" xfId="0" applyAlignment="1" applyFont="1" applyNumberFormat="1">
      <alignment vertical="bottom"/>
    </xf>
    <xf borderId="0" fillId="2" fontId="36" numFmtId="166" xfId="0" applyAlignment="1" applyFont="1" applyNumberFormat="1">
      <alignment horizontal="right" vertical="bottom"/>
    </xf>
    <xf borderId="0" fillId="2" fontId="58" numFmtId="166" xfId="0" applyAlignment="1" applyFont="1" applyNumberFormat="1">
      <alignment horizontal="right" vertical="bottom"/>
    </xf>
    <xf borderId="31" fillId="0" fontId="29" numFmtId="0" xfId="0" applyAlignment="1" applyBorder="1" applyFont="1">
      <alignment horizontal="center" vertical="bottom"/>
    </xf>
    <xf borderId="31" fillId="0" fontId="29" numFmtId="166" xfId="0" applyAlignment="1" applyBorder="1" applyFont="1" applyNumberFormat="1">
      <alignment horizontal="right" vertical="bottom"/>
    </xf>
    <xf borderId="0" fillId="14" fontId="49" numFmtId="4" xfId="0" applyAlignment="1" applyFont="1" applyNumberFormat="1">
      <alignment horizontal="right" vertical="bottom"/>
    </xf>
    <xf borderId="0" fillId="0" fontId="29" numFmtId="10" xfId="0" applyAlignment="1" applyFont="1" applyNumberFormat="1">
      <alignment horizontal="center" vertical="bottom"/>
    </xf>
    <xf borderId="0" fillId="18" fontId="29" numFmtId="0" xfId="0" applyAlignment="1" applyFill="1" applyFont="1">
      <alignment vertical="bottom"/>
    </xf>
    <xf borderId="0" fillId="18" fontId="29" numFmtId="0" xfId="0" applyAlignment="1" applyFont="1">
      <alignment horizontal="center" vertical="bottom"/>
    </xf>
    <xf borderId="0" fillId="18" fontId="49" numFmtId="4" xfId="0" applyAlignment="1" applyFont="1" applyNumberFormat="1">
      <alignment vertical="bottom"/>
    </xf>
    <xf borderId="0" fillId="18" fontId="29" numFmtId="10" xfId="0" applyAlignment="1" applyFont="1" applyNumberFormat="1">
      <alignment horizontal="center" vertical="bottom"/>
    </xf>
    <xf borderId="0" fillId="18" fontId="29" numFmtId="10" xfId="0" applyAlignment="1" applyFont="1" applyNumberFormat="1">
      <alignment horizontal="right" vertical="bottom"/>
    </xf>
    <xf borderId="0" fillId="19" fontId="29" numFmtId="0" xfId="0" applyAlignment="1" applyFill="1" applyFont="1">
      <alignment vertical="bottom"/>
    </xf>
    <xf borderId="0" fillId="19" fontId="29" numFmtId="0" xfId="0" applyAlignment="1" applyFont="1">
      <alignment horizontal="center" vertical="bottom"/>
    </xf>
    <xf borderId="0" fillId="19" fontId="29" numFmtId="166" xfId="0" applyAlignment="1" applyFont="1" applyNumberFormat="1">
      <alignment horizontal="right" vertical="bottom"/>
    </xf>
    <xf borderId="0" fillId="19" fontId="29" numFmtId="0" xfId="0" applyAlignment="1" applyFont="1">
      <alignment horizontal="right" vertical="bottom"/>
    </xf>
    <xf borderId="0" fillId="19" fontId="29" numFmtId="10" xfId="0" applyAlignment="1" applyFont="1" applyNumberFormat="1">
      <alignment horizontal="center" vertical="bottom"/>
    </xf>
    <xf borderId="0" fillId="19" fontId="29" numFmtId="10" xfId="0" applyAlignment="1" applyFont="1" applyNumberFormat="1">
      <alignment horizontal="right" vertical="bottom"/>
    </xf>
    <xf borderId="0" fillId="20" fontId="53" numFmtId="0" xfId="0" applyAlignment="1" applyFill="1" applyFont="1">
      <alignment vertical="bottom"/>
    </xf>
    <xf borderId="0" fillId="20" fontId="53" numFmtId="0" xfId="0" applyAlignment="1" applyFont="1">
      <alignment horizontal="center" vertical="bottom"/>
    </xf>
    <xf borderId="0" fillId="2" fontId="53" numFmtId="4" xfId="0" applyAlignment="1" applyFont="1" applyNumberFormat="1">
      <alignment vertical="bottom"/>
    </xf>
    <xf borderId="0" fillId="18" fontId="31" numFmtId="0" xfId="0" applyAlignment="1" applyFont="1">
      <alignment vertical="bottom"/>
    </xf>
    <xf borderId="0" fillId="18" fontId="29" numFmtId="166" xfId="0" applyAlignment="1" applyFont="1" applyNumberFormat="1">
      <alignment horizontal="right" vertical="bottom"/>
    </xf>
    <xf borderId="0" fillId="18" fontId="31" numFmtId="4" xfId="0" applyAlignment="1" applyFont="1" applyNumberFormat="1">
      <alignment vertical="bottom"/>
    </xf>
    <xf borderId="0" fillId="18" fontId="29" numFmtId="166" xfId="0" applyAlignment="1" applyFont="1" applyNumberFormat="1">
      <alignment vertical="bottom"/>
    </xf>
    <xf borderId="0" fillId="13" fontId="29" numFmtId="166" xfId="0" applyAlignment="1" applyFont="1" applyNumberFormat="1">
      <alignment vertical="bottom"/>
    </xf>
    <xf borderId="0" fillId="18" fontId="31" numFmtId="166" xfId="0" applyAlignment="1" applyFont="1" applyNumberFormat="1">
      <alignment horizontal="right" vertical="bottom"/>
    </xf>
    <xf borderId="31" fillId="18" fontId="29" numFmtId="166" xfId="0" applyAlignment="1" applyBorder="1" applyFont="1" applyNumberFormat="1">
      <alignment vertical="bottom"/>
    </xf>
    <xf borderId="31" fillId="13" fontId="29" numFmtId="166" xfId="0" applyAlignment="1" applyBorder="1" applyFont="1" applyNumberFormat="1">
      <alignment vertical="bottom"/>
    </xf>
    <xf borderId="31" fillId="13" fontId="29" numFmtId="166" xfId="0" applyAlignment="1" applyBorder="1" applyFont="1" applyNumberFormat="1">
      <alignment horizontal="right" vertical="bottom"/>
    </xf>
    <xf borderId="31" fillId="18" fontId="31" numFmtId="166" xfId="0" applyAlignment="1" applyBorder="1" applyFont="1" applyNumberFormat="1">
      <alignment horizontal="right" vertical="bottom"/>
    </xf>
    <xf borderId="31" fillId="18" fontId="29" numFmtId="166" xfId="0" applyAlignment="1" applyBorder="1" applyFont="1" applyNumberFormat="1">
      <alignment horizontal="right" vertical="bottom"/>
    </xf>
    <xf borderId="0" fillId="12" fontId="29" numFmtId="166" xfId="0" applyAlignment="1" applyFont="1" applyNumberFormat="1">
      <alignment horizontal="right" vertical="bottom"/>
    </xf>
    <xf borderId="0" fillId="19" fontId="31" numFmtId="166" xfId="0" applyAlignment="1" applyFont="1" applyNumberFormat="1">
      <alignment horizontal="right" vertical="bottom"/>
    </xf>
    <xf borderId="0" fillId="19" fontId="29" numFmtId="166" xfId="0" applyAlignment="1" applyFont="1" applyNumberFormat="1">
      <alignment vertical="bottom"/>
    </xf>
    <xf borderId="0" fillId="12" fontId="29" numFmtId="166" xfId="0" applyAlignment="1" applyFont="1" applyNumberFormat="1">
      <alignment vertical="bottom"/>
    </xf>
    <xf borderId="31" fillId="19" fontId="29" numFmtId="166" xfId="0" applyAlignment="1" applyBorder="1" applyFont="1" applyNumberFormat="1">
      <alignment vertical="bottom"/>
    </xf>
    <xf borderId="31" fillId="12" fontId="29" numFmtId="166" xfId="0" applyAlignment="1" applyBorder="1" applyFont="1" applyNumberFormat="1">
      <alignment vertical="bottom"/>
    </xf>
    <xf borderId="31" fillId="12" fontId="29" numFmtId="166" xfId="0" applyAlignment="1" applyBorder="1" applyFont="1" applyNumberFormat="1">
      <alignment horizontal="right" vertical="bottom"/>
    </xf>
    <xf borderId="31" fillId="19" fontId="31" numFmtId="166" xfId="0" applyAlignment="1" applyBorder="1" applyFont="1" applyNumberFormat="1">
      <alignment horizontal="right" vertical="bottom"/>
    </xf>
    <xf borderId="31" fillId="19" fontId="29" numFmtId="166" xfId="0" applyAlignment="1" applyBorder="1" applyFont="1" applyNumberFormat="1">
      <alignment horizontal="right" vertical="bottom"/>
    </xf>
    <xf borderId="31" fillId="15" fontId="16" numFmtId="0" xfId="0" applyBorder="1" applyFont="1"/>
    <xf borderId="31" fillId="15" fontId="33" numFmtId="166" xfId="0" applyBorder="1" applyFont="1" applyNumberFormat="1"/>
    <xf borderId="31" fillId="15" fontId="16" numFmtId="166" xfId="0" applyBorder="1" applyFont="1" applyNumberFormat="1"/>
    <xf borderId="0" fillId="0" fontId="59" numFmtId="0" xfId="0" applyAlignment="1" applyFont="1">
      <alignment vertical="bottom"/>
    </xf>
    <xf borderId="0" fillId="2" fontId="29" numFmtId="49" xfId="0" applyAlignment="1" applyFont="1" applyNumberFormat="1">
      <alignment horizontal="left"/>
    </xf>
    <xf borderId="0" fillId="2" fontId="29" numFmtId="49" xfId="0" applyAlignment="1" applyFont="1" applyNumberFormat="1">
      <alignment horizontal="center"/>
    </xf>
    <xf borderId="33" fillId="2" fontId="32" numFmtId="49" xfId="0" applyAlignment="1" applyBorder="1" applyFont="1" applyNumberFormat="1">
      <alignment horizontal="center"/>
    </xf>
    <xf borderId="33" fillId="0" fontId="5" numFmtId="0" xfId="0" applyBorder="1" applyFont="1"/>
    <xf borderId="0" fillId="2" fontId="55" numFmtId="49" xfId="0" applyAlignment="1" applyFont="1" applyNumberFormat="1">
      <alignment horizontal="center"/>
    </xf>
    <xf borderId="34" fillId="12" fontId="29" numFmtId="49" xfId="0" applyAlignment="1" applyBorder="1" applyFont="1" applyNumberFormat="1">
      <alignment vertical="bottom"/>
    </xf>
    <xf borderId="35" fillId="12" fontId="29" numFmtId="49" xfId="0" applyAlignment="1" applyBorder="1" applyFont="1" applyNumberFormat="1">
      <alignment horizontal="center"/>
    </xf>
    <xf borderId="4" fillId="12" fontId="29" numFmtId="49" xfId="0" applyAlignment="1" applyBorder="1" applyFont="1" applyNumberFormat="1">
      <alignment horizontal="center"/>
    </xf>
    <xf borderId="4" fillId="12" fontId="55" numFmtId="49" xfId="0" applyAlignment="1" applyBorder="1" applyFont="1" applyNumberFormat="1">
      <alignment horizontal="center"/>
    </xf>
    <xf borderId="36" fillId="12" fontId="29" numFmtId="0" xfId="0" applyAlignment="1" applyBorder="1" applyFont="1">
      <alignment horizontal="left"/>
    </xf>
    <xf borderId="37" fillId="12" fontId="29" numFmtId="0" xfId="0" applyAlignment="1" applyBorder="1" applyFont="1">
      <alignment horizontal="center"/>
    </xf>
    <xf borderId="38" fillId="12" fontId="29" numFmtId="0" xfId="0" applyAlignment="1" applyBorder="1" applyFont="1">
      <alignment horizontal="center"/>
    </xf>
    <xf borderId="4" fillId="12" fontId="29" numFmtId="0" xfId="0" applyAlignment="1" applyBorder="1" applyFont="1">
      <alignment horizontal="center"/>
    </xf>
    <xf borderId="36" fillId="12" fontId="29" numFmtId="0" xfId="0" applyAlignment="1" applyBorder="1" applyFont="1">
      <alignment horizontal="center"/>
    </xf>
    <xf borderId="4" fillId="12" fontId="55" numFmtId="0" xfId="0" applyAlignment="1" applyBorder="1" applyFont="1">
      <alignment horizontal="center"/>
    </xf>
    <xf borderId="37" fillId="0" fontId="29" numFmtId="0" xfId="0" applyBorder="1" applyFont="1"/>
    <xf borderId="39" fillId="0" fontId="29" numFmtId="0" xfId="0" applyBorder="1" applyFont="1"/>
    <xf borderId="40" fillId="0" fontId="29" numFmtId="0" xfId="0" applyBorder="1" applyFont="1"/>
    <xf borderId="35" fillId="0" fontId="29" numFmtId="0" xfId="0" applyAlignment="1" applyBorder="1" applyFont="1">
      <alignment horizontal="center"/>
    </xf>
    <xf borderId="35" fillId="0" fontId="29" numFmtId="0" xfId="0" applyBorder="1" applyFont="1"/>
    <xf borderId="35" fillId="21" fontId="55" numFmtId="173" xfId="0" applyBorder="1" applyFill="1" applyFont="1" applyNumberFormat="1"/>
    <xf borderId="35" fillId="0" fontId="29" numFmtId="171" xfId="0" applyBorder="1" applyFont="1" applyNumberFormat="1"/>
    <xf borderId="30" fillId="0" fontId="29" numFmtId="0" xfId="0" applyBorder="1" applyFont="1"/>
    <xf borderId="32" fillId="0" fontId="29" numFmtId="0" xfId="0" applyBorder="1" applyFont="1"/>
    <xf borderId="21" fillId="0" fontId="29" numFmtId="0" xfId="0" applyAlignment="1" applyBorder="1" applyFont="1">
      <alignment horizontal="center"/>
    </xf>
    <xf borderId="21" fillId="0" fontId="29" numFmtId="0" xfId="0" applyBorder="1" applyFont="1"/>
    <xf borderId="21" fillId="21" fontId="55" numFmtId="171" xfId="0" applyBorder="1" applyFont="1" applyNumberFormat="1"/>
    <xf borderId="21" fillId="0" fontId="29" numFmtId="171" xfId="0" applyBorder="1" applyFont="1" applyNumberFormat="1"/>
    <xf borderId="0" fillId="12" fontId="29" numFmtId="0" xfId="0" applyFont="1"/>
    <xf borderId="39" fillId="12" fontId="29" numFmtId="0" xfId="0" applyBorder="1" applyFont="1"/>
    <xf borderId="0" fillId="12" fontId="29" numFmtId="0" xfId="0" applyAlignment="1" applyFont="1">
      <alignment horizontal="center"/>
    </xf>
    <xf borderId="0" fillId="12" fontId="55" numFmtId="166" xfId="0" applyAlignment="1" applyFont="1" applyNumberFormat="1">
      <alignment horizontal="center"/>
    </xf>
    <xf borderId="39" fillId="2" fontId="32" numFmtId="0" xfId="0" applyBorder="1" applyFont="1"/>
    <xf borderId="39" fillId="2" fontId="29" numFmtId="0" xfId="0" applyBorder="1" applyFont="1"/>
    <xf borderId="41" fillId="2" fontId="29" numFmtId="0" xfId="0" applyBorder="1" applyFont="1"/>
    <xf borderId="20" fillId="2" fontId="29" numFmtId="0" xfId="0" applyAlignment="1" applyBorder="1" applyFont="1">
      <alignment horizontal="center"/>
    </xf>
    <xf borderId="20" fillId="2" fontId="29" numFmtId="0" xfId="0" applyBorder="1" applyFont="1"/>
    <xf borderId="20" fillId="21" fontId="55" numFmtId="166" xfId="0" applyBorder="1" applyFont="1" applyNumberFormat="1"/>
    <xf borderId="20" fillId="21" fontId="29" numFmtId="166" xfId="0" applyBorder="1" applyFont="1" applyNumberFormat="1"/>
    <xf borderId="39" fillId="2" fontId="49" numFmtId="0" xfId="0" applyBorder="1" applyFont="1"/>
    <xf borderId="41" fillId="2" fontId="49" numFmtId="0" xfId="0" applyBorder="1" applyFont="1"/>
    <xf borderId="20" fillId="2" fontId="49" numFmtId="0" xfId="0" applyAlignment="1" applyBorder="1" applyFont="1">
      <alignment horizontal="center"/>
    </xf>
    <xf borderId="20" fillId="2" fontId="49" numFmtId="10" xfId="0" applyBorder="1" applyFont="1" applyNumberFormat="1"/>
    <xf borderId="20" fillId="2" fontId="49" numFmtId="4" xfId="0" applyBorder="1" applyFont="1" applyNumberFormat="1"/>
    <xf borderId="20" fillId="2" fontId="49" numFmtId="166" xfId="0" applyBorder="1" applyFont="1" applyNumberFormat="1"/>
    <xf borderId="30" fillId="2" fontId="54" numFmtId="0" xfId="0" applyBorder="1" applyFont="1"/>
    <xf borderId="30" fillId="17" fontId="54" numFmtId="0" xfId="0" applyBorder="1" applyFont="1"/>
    <xf borderId="32" fillId="17" fontId="54" numFmtId="0" xfId="0" applyBorder="1" applyFont="1"/>
    <xf borderId="21" fillId="17" fontId="54" numFmtId="0" xfId="0" applyAlignment="1" applyBorder="1" applyFont="1">
      <alignment horizontal="center"/>
    </xf>
    <xf borderId="21" fillId="17" fontId="54" numFmtId="10" xfId="0" applyBorder="1" applyFont="1" applyNumberFormat="1"/>
    <xf borderId="21" fillId="17" fontId="60" numFmtId="166" xfId="0" applyBorder="1" applyFont="1" applyNumberFormat="1"/>
    <xf borderId="21" fillId="17" fontId="54" numFmtId="166" xfId="0" applyBorder="1" applyFont="1" applyNumberFormat="1"/>
    <xf borderId="39" fillId="2" fontId="35" numFmtId="10" xfId="0" applyBorder="1" applyFont="1" applyNumberFormat="1"/>
    <xf borderId="39" fillId="2" fontId="37" numFmtId="0" xfId="0" applyBorder="1" applyFont="1"/>
    <xf borderId="41" fillId="2" fontId="35" numFmtId="10" xfId="0" applyBorder="1" applyFont="1" applyNumberFormat="1"/>
    <xf borderId="20" fillId="2" fontId="35" numFmtId="0" xfId="0" applyAlignment="1" applyBorder="1" applyFont="1">
      <alignment horizontal="center"/>
    </xf>
    <xf borderId="20" fillId="2" fontId="35" numFmtId="10" xfId="0" applyBorder="1" applyFont="1" applyNumberFormat="1"/>
    <xf borderId="39" fillId="2" fontId="29" numFmtId="4" xfId="0" applyBorder="1" applyFont="1" applyNumberFormat="1"/>
    <xf borderId="39" fillId="22" fontId="29" numFmtId="4" xfId="0" applyBorder="1" applyFill="1" applyFont="1" applyNumberFormat="1"/>
    <xf borderId="41" fillId="22" fontId="29" numFmtId="4" xfId="0" applyBorder="1" applyFont="1" applyNumberFormat="1"/>
    <xf borderId="20" fillId="22" fontId="29" numFmtId="4" xfId="0" applyAlignment="1" applyBorder="1" applyFont="1" applyNumberFormat="1">
      <alignment horizontal="center"/>
    </xf>
    <xf borderId="20" fillId="22" fontId="29" numFmtId="4" xfId="0" applyBorder="1" applyFont="1" applyNumberFormat="1"/>
    <xf borderId="20" fillId="22" fontId="55" numFmtId="4" xfId="0" applyBorder="1" applyFont="1" applyNumberFormat="1"/>
    <xf borderId="39" fillId="2" fontId="29" numFmtId="166" xfId="0" applyBorder="1" applyFont="1" applyNumberFormat="1"/>
    <xf borderId="41" fillId="2" fontId="29" numFmtId="166" xfId="0" applyBorder="1" applyFont="1" applyNumberFormat="1"/>
    <xf borderId="20" fillId="2" fontId="29" numFmtId="166" xfId="0" applyAlignment="1" applyBorder="1" applyFont="1" applyNumberFormat="1">
      <alignment horizontal="center"/>
    </xf>
    <xf borderId="20" fillId="2" fontId="29" numFmtId="166" xfId="0" applyBorder="1" applyFont="1" applyNumberFormat="1"/>
    <xf borderId="39" fillId="2" fontId="35" numFmtId="0" xfId="0" applyBorder="1" applyFont="1"/>
    <xf borderId="20" fillId="2" fontId="35" numFmtId="10" xfId="0" applyAlignment="1" applyBorder="1" applyFont="1" applyNumberFormat="1">
      <alignment horizontal="center"/>
    </xf>
    <xf borderId="20" fillId="21" fontId="55" numFmtId="10" xfId="0" applyBorder="1" applyFont="1" applyNumberFormat="1"/>
    <xf borderId="20" fillId="2" fontId="55" numFmtId="10" xfId="0" applyBorder="1" applyFont="1" applyNumberFormat="1"/>
    <xf borderId="30" fillId="2" fontId="35" numFmtId="10" xfId="0" applyBorder="1" applyFont="1" applyNumberFormat="1"/>
    <xf borderId="30" fillId="2" fontId="35" numFmtId="0" xfId="0" applyBorder="1" applyFont="1"/>
    <xf borderId="32" fillId="2" fontId="35" numFmtId="10" xfId="0" applyBorder="1" applyFont="1" applyNumberFormat="1"/>
    <xf borderId="21" fillId="2" fontId="35" numFmtId="10" xfId="0" applyAlignment="1" applyBorder="1" applyFont="1" applyNumberFormat="1">
      <alignment horizontal="center"/>
    </xf>
    <xf borderId="21" fillId="2" fontId="35" numFmtId="10" xfId="0" applyBorder="1" applyFont="1" applyNumberFormat="1"/>
    <xf borderId="21" fillId="21" fontId="55" numFmtId="10" xfId="0" applyBorder="1" applyFont="1" applyNumberFormat="1"/>
    <xf borderId="39" fillId="2" fontId="54" numFmtId="3" xfId="0" applyBorder="1" applyFont="1" applyNumberFormat="1"/>
    <xf borderId="39" fillId="17" fontId="54" numFmtId="3" xfId="0" applyBorder="1" applyFont="1" applyNumberFormat="1"/>
    <xf borderId="41" fillId="17" fontId="54" numFmtId="3" xfId="0" applyBorder="1" applyFont="1" applyNumberFormat="1"/>
    <xf borderId="20" fillId="17" fontId="54" numFmtId="3" xfId="0" applyAlignment="1" applyBorder="1" applyFont="1" applyNumberFormat="1">
      <alignment horizontal="center"/>
    </xf>
    <xf borderId="20" fillId="17" fontId="54" numFmtId="3" xfId="0" applyBorder="1" applyFont="1" applyNumberFormat="1"/>
    <xf borderId="20" fillId="17" fontId="60" numFmtId="166" xfId="0" applyBorder="1" applyFont="1" applyNumberFormat="1"/>
    <xf borderId="20" fillId="17" fontId="54" numFmtId="166" xfId="0" applyBorder="1" applyFont="1" applyNumberFormat="1"/>
    <xf borderId="39" fillId="2" fontId="42" numFmtId="10" xfId="0" applyBorder="1" applyFont="1" applyNumberFormat="1"/>
    <xf borderId="39" fillId="17" fontId="42" numFmtId="0" xfId="0" applyBorder="1" applyFont="1"/>
    <xf borderId="41" fillId="17" fontId="42" numFmtId="10" xfId="0" applyBorder="1" applyFont="1" applyNumberFormat="1"/>
    <xf borderId="20" fillId="17" fontId="42" numFmtId="10" xfId="0" applyAlignment="1" applyBorder="1" applyFont="1" applyNumberFormat="1">
      <alignment horizontal="center"/>
    </xf>
    <xf borderId="20" fillId="17" fontId="42" numFmtId="10" xfId="0" applyBorder="1" applyFont="1" applyNumberFormat="1"/>
    <xf borderId="20" fillId="17" fontId="60" numFmtId="10" xfId="0" applyBorder="1" applyFont="1" applyNumberFormat="1"/>
    <xf borderId="30" fillId="2" fontId="29" numFmtId="166" xfId="0" applyBorder="1" applyFont="1" applyNumberFormat="1"/>
    <xf borderId="30" fillId="0" fontId="29" numFmtId="166" xfId="0" applyBorder="1" applyFont="1" applyNumberFormat="1"/>
    <xf borderId="32" fillId="2" fontId="29" numFmtId="166" xfId="0" applyBorder="1" applyFont="1" applyNumberFormat="1"/>
    <xf borderId="21" fillId="2" fontId="29" numFmtId="0" xfId="0" applyAlignment="1" applyBorder="1" applyFont="1">
      <alignment horizontal="center"/>
    </xf>
    <xf borderId="21" fillId="2" fontId="29" numFmtId="166" xfId="0" applyBorder="1" applyFont="1" applyNumberFormat="1"/>
    <xf borderId="21" fillId="21" fontId="55" numFmtId="166" xfId="0" applyBorder="1" applyFont="1" applyNumberFormat="1"/>
    <xf borderId="39" fillId="0" fontId="29" numFmtId="166" xfId="0" applyBorder="1" applyFont="1" applyNumberFormat="1"/>
    <xf borderId="39" fillId="2" fontId="35" numFmtId="166" xfId="0" applyBorder="1" applyFont="1" applyNumberFormat="1"/>
    <xf borderId="41" fillId="2" fontId="35" numFmtId="166" xfId="0" applyBorder="1" applyFont="1" applyNumberFormat="1"/>
    <xf borderId="20" fillId="2" fontId="35" numFmtId="166" xfId="0" applyBorder="1" applyFont="1" applyNumberFormat="1"/>
    <xf borderId="21" fillId="2" fontId="29" numFmtId="166" xfId="0" applyAlignment="1" applyBorder="1" applyFont="1" applyNumberFormat="1">
      <alignment horizontal="center"/>
    </xf>
    <xf borderId="39" fillId="2" fontId="36" numFmtId="166" xfId="0" applyBorder="1" applyFont="1" applyNumberFormat="1"/>
    <xf borderId="39" fillId="0" fontId="61" numFmtId="166" xfId="0" applyAlignment="1" applyBorder="1" applyFont="1" applyNumberFormat="1">
      <alignment shrinkToFit="0" vertical="bottom" wrapText="0"/>
    </xf>
    <xf borderId="41" fillId="2" fontId="36" numFmtId="166" xfId="0" applyBorder="1" applyFont="1" applyNumberFormat="1"/>
    <xf borderId="20" fillId="2" fontId="36" numFmtId="0" xfId="0" applyAlignment="1" applyBorder="1" applyFont="1">
      <alignment horizontal="center"/>
    </xf>
    <xf borderId="20" fillId="2" fontId="36" numFmtId="166" xfId="0" applyBorder="1" applyFont="1" applyNumberFormat="1"/>
    <xf borderId="20" fillId="21" fontId="62" numFmtId="166" xfId="0" applyBorder="1" applyFont="1" applyNumberFormat="1"/>
    <xf borderId="39" fillId="2" fontId="58" numFmtId="10" xfId="0" applyBorder="1" applyFont="1" applyNumberFormat="1"/>
    <xf borderId="39" fillId="0" fontId="31" numFmtId="0" xfId="0" applyBorder="1" applyFont="1"/>
    <xf borderId="41" fillId="2" fontId="31" numFmtId="10" xfId="0" applyBorder="1" applyFont="1" applyNumberFormat="1"/>
    <xf borderId="20" fillId="2" fontId="31" numFmtId="10" xfId="0" applyAlignment="1" applyBorder="1" applyFont="1" applyNumberFormat="1">
      <alignment horizontal="center"/>
    </xf>
    <xf borderId="20" fillId="2" fontId="31" numFmtId="10" xfId="0" applyBorder="1" applyFont="1" applyNumberFormat="1"/>
    <xf borderId="41" fillId="2" fontId="29" numFmtId="4" xfId="0" applyBorder="1" applyFont="1" applyNumberFormat="1"/>
    <xf borderId="20" fillId="2" fontId="29" numFmtId="4" xfId="0" applyAlignment="1" applyBorder="1" applyFont="1" applyNumberFormat="1">
      <alignment horizontal="center"/>
    </xf>
    <xf borderId="20" fillId="2" fontId="29" numFmtId="4" xfId="0" applyBorder="1" applyFont="1" applyNumberFormat="1"/>
    <xf borderId="30" fillId="2" fontId="29" numFmtId="4" xfId="0" applyBorder="1" applyFont="1" applyNumberFormat="1"/>
    <xf borderId="30" fillId="0" fontId="16" numFmtId="0" xfId="0" applyBorder="1" applyFont="1"/>
    <xf borderId="32" fillId="0" fontId="16" numFmtId="0" xfId="0" applyBorder="1" applyFont="1"/>
    <xf borderId="21" fillId="0" fontId="16" numFmtId="0" xfId="0" applyBorder="1" applyFont="1"/>
    <xf borderId="21" fillId="0" fontId="16" numFmtId="166" xfId="0" applyBorder="1" applyFont="1" applyNumberFormat="1"/>
    <xf borderId="20" fillId="2" fontId="36" numFmtId="166" xfId="0" applyAlignment="1" applyBorder="1" applyFont="1" applyNumberFormat="1">
      <alignment horizontal="center"/>
    </xf>
    <xf borderId="39" fillId="2" fontId="31" numFmtId="10" xfId="0" applyBorder="1" applyFont="1" applyNumberFormat="1"/>
    <xf borderId="39" fillId="2" fontId="31" numFmtId="0" xfId="0" applyBorder="1" applyFont="1"/>
    <xf borderId="41" fillId="2" fontId="31" numFmtId="0" xfId="0" applyBorder="1" applyFont="1"/>
    <xf borderId="30" fillId="2" fontId="29" numFmtId="0" xfId="0" applyBorder="1" applyFont="1"/>
    <xf borderId="39" fillId="2" fontId="49" numFmtId="166" xfId="0" applyBorder="1" applyFont="1" applyNumberFormat="1"/>
    <xf borderId="39" fillId="23" fontId="49" numFmtId="166" xfId="0" applyBorder="1" applyFill="1" applyFont="1" applyNumberFormat="1"/>
    <xf borderId="41" fillId="23" fontId="49" numFmtId="166" xfId="0" applyBorder="1" applyFont="1" applyNumberFormat="1"/>
    <xf borderId="20" fillId="23" fontId="49" numFmtId="166" xfId="0" applyAlignment="1" applyBorder="1" applyFont="1" applyNumberFormat="1">
      <alignment horizontal="center"/>
    </xf>
    <xf borderId="20" fillId="23" fontId="49" numFmtId="166" xfId="0" applyBorder="1" applyFont="1" applyNumberFormat="1"/>
    <xf borderId="39" fillId="23" fontId="36" numFmtId="166" xfId="0" applyBorder="1" applyFont="1" applyNumberFormat="1"/>
    <xf borderId="41" fillId="23" fontId="36" numFmtId="166" xfId="0" applyBorder="1" applyFont="1" applyNumberFormat="1"/>
    <xf borderId="20" fillId="23" fontId="36" numFmtId="166" xfId="0" applyAlignment="1" applyBorder="1" applyFont="1" applyNumberFormat="1">
      <alignment horizontal="center"/>
    </xf>
    <xf borderId="20" fillId="23" fontId="36" numFmtId="166" xfId="0" applyBorder="1" applyFont="1" applyNumberFormat="1"/>
    <xf borderId="31" fillId="2" fontId="35" numFmtId="10" xfId="0" applyBorder="1" applyFont="1" applyNumberFormat="1"/>
    <xf borderId="0" fillId="2" fontId="29" numFmtId="10" xfId="0" applyFont="1" applyNumberFormat="1"/>
    <xf borderId="0" fillId="2" fontId="29" numFmtId="10" xfId="0" applyAlignment="1" applyFont="1" applyNumberFormat="1">
      <alignment horizontal="center"/>
    </xf>
    <xf borderId="0" fillId="2" fontId="55" numFmtId="166" xfId="0" applyFont="1" applyNumberFormat="1"/>
    <xf borderId="0" fillId="2" fontId="32" numFmtId="0" xfId="0" applyFont="1"/>
    <xf borderId="0" fillId="2" fontId="29" numFmtId="0" xfId="0" applyAlignment="1" applyFont="1">
      <alignment horizontal="center"/>
    </xf>
    <xf borderId="0" fillId="0" fontId="55" numFmtId="0" xfId="0" applyFont="1"/>
    <xf borderId="0" fillId="2" fontId="29" numFmtId="4" xfId="0" applyFont="1" applyNumberFormat="1"/>
    <xf borderId="0" fillId="2" fontId="29" numFmtId="166" xfId="0" applyFont="1" applyNumberFormat="1"/>
    <xf borderId="0" fillId="2" fontId="29" numFmtId="166" xfId="0" applyAlignment="1" applyFont="1" applyNumberFormat="1">
      <alignment horizontal="center"/>
    </xf>
    <xf borderId="0" fillId="2" fontId="29" numFmtId="172" xfId="0" applyFont="1" applyNumberFormat="1"/>
    <xf borderId="0" fillId="0" fontId="29" numFmtId="0" xfId="0" applyAlignment="1" applyFont="1">
      <alignment horizontal="center"/>
    </xf>
    <xf borderId="0" fillId="0" fontId="55" numFmtId="166" xfId="0" applyFont="1" applyNumberFormat="1"/>
    <xf borderId="0" fillId="12" fontId="29" numFmtId="49" xfId="0" applyAlignment="1" applyFont="1" applyNumberFormat="1">
      <alignment horizontal="center"/>
    </xf>
    <xf borderId="0" fillId="12" fontId="31" numFmtId="49" xfId="0" applyAlignment="1" applyFont="1" applyNumberFormat="1">
      <alignment horizontal="center"/>
    </xf>
    <xf borderId="0" fillId="12" fontId="29" numFmtId="0" xfId="0" applyAlignment="1" applyFont="1">
      <alignment horizontal="left"/>
    </xf>
    <xf borderId="0" fillId="12" fontId="31" numFmtId="0" xfId="0" applyAlignment="1" applyFont="1">
      <alignment horizontal="center"/>
    </xf>
    <xf borderId="35" fillId="0" fontId="31" numFmtId="173" xfId="0" applyBorder="1" applyFont="1" applyNumberFormat="1"/>
    <xf borderId="20" fillId="0" fontId="29" numFmtId="0" xfId="0" applyBorder="1" applyFont="1"/>
    <xf borderId="20" fillId="0" fontId="29" numFmtId="0" xfId="0" applyAlignment="1" applyBorder="1" applyFont="1">
      <alignment horizontal="center"/>
    </xf>
    <xf borderId="20" fillId="0" fontId="31" numFmtId="171" xfId="0" applyBorder="1" applyFont="1" applyNumberFormat="1"/>
    <xf borderId="20" fillId="0" fontId="29" numFmtId="171" xfId="0" applyBorder="1" applyFont="1" applyNumberFormat="1"/>
    <xf borderId="20" fillId="2" fontId="31" numFmtId="173" xfId="0" applyBorder="1" applyFont="1" applyNumberFormat="1"/>
    <xf borderId="20" fillId="12" fontId="29" numFmtId="0" xfId="0" applyBorder="1" applyFont="1"/>
    <xf borderId="20" fillId="12" fontId="29" numFmtId="0" xfId="0" applyAlignment="1" applyBorder="1" applyFont="1">
      <alignment horizontal="center"/>
    </xf>
    <xf borderId="20" fillId="12" fontId="31" numFmtId="0" xfId="0" applyBorder="1" applyFont="1"/>
    <xf borderId="20" fillId="12" fontId="29" numFmtId="166" xfId="0" applyBorder="1" applyFont="1" applyNumberFormat="1"/>
    <xf borderId="20" fillId="2" fontId="49" numFmtId="0" xfId="0" applyBorder="1" applyFont="1"/>
    <xf borderId="20" fillId="2" fontId="31" numFmtId="166" xfId="0" applyBorder="1" applyFont="1" applyNumberFormat="1"/>
    <xf borderId="20" fillId="2" fontId="32" numFmtId="166" xfId="0" applyBorder="1" applyFont="1" applyNumberFormat="1"/>
    <xf borderId="20" fillId="2" fontId="31" numFmtId="166" xfId="0" applyAlignment="1" applyBorder="1" applyFont="1" applyNumberFormat="1">
      <alignment horizontal="right"/>
    </xf>
    <xf borderId="21" fillId="2" fontId="31" numFmtId="166" xfId="0" applyBorder="1" applyFont="1" applyNumberFormat="1"/>
    <xf borderId="20" fillId="2" fontId="63" numFmtId="166" xfId="0" applyBorder="1" applyFont="1" applyNumberFormat="1"/>
    <xf borderId="20" fillId="2" fontId="63" numFmtId="166" xfId="0" applyAlignment="1" applyBorder="1" applyFont="1" applyNumberFormat="1">
      <alignment horizontal="center"/>
    </xf>
    <xf borderId="20" fillId="2" fontId="57" numFmtId="166" xfId="0" applyBorder="1" applyFont="1" applyNumberFormat="1"/>
    <xf borderId="20" fillId="2" fontId="49" numFmtId="166" xfId="0" applyAlignment="1" applyBorder="1" applyFont="1" applyNumberFormat="1">
      <alignment horizontal="center"/>
    </xf>
    <xf borderId="20" fillId="0" fontId="31" numFmtId="4" xfId="0" applyBorder="1" applyFont="1" applyNumberFormat="1"/>
    <xf borderId="20" fillId="0" fontId="63" numFmtId="166" xfId="0" applyBorder="1" applyFont="1" applyNumberFormat="1"/>
    <xf borderId="20" fillId="0" fontId="29" numFmtId="166" xfId="0" applyBorder="1" applyFont="1" applyNumberFormat="1"/>
    <xf borderId="21" fillId="0" fontId="29" numFmtId="166" xfId="0" applyBorder="1" applyFont="1" applyNumberFormat="1"/>
    <xf borderId="21" fillId="0" fontId="63" numFmtId="166" xfId="0" applyBorder="1" applyFont="1" applyNumberFormat="1"/>
    <xf borderId="21" fillId="2" fontId="63" numFmtId="166" xfId="0" applyBorder="1" applyFont="1" applyNumberFormat="1"/>
    <xf borderId="21" fillId="2" fontId="63" numFmtId="166" xfId="0" applyAlignment="1" applyBorder="1" applyFont="1" applyNumberFormat="1">
      <alignment horizontal="center"/>
    </xf>
    <xf borderId="21" fillId="0" fontId="57" numFmtId="166" xfId="0" applyBorder="1" applyFont="1" applyNumberFormat="1"/>
    <xf borderId="20" fillId="0" fontId="64" numFmtId="166" xfId="0" applyAlignment="1" applyBorder="1" applyFont="1" applyNumberFormat="1">
      <alignment shrinkToFit="0" vertical="bottom" wrapText="0"/>
    </xf>
    <xf borderId="21" fillId="2" fontId="58" numFmtId="166" xfId="0" applyBorder="1" applyFont="1" applyNumberFormat="1"/>
    <xf borderId="21" fillId="0" fontId="31" numFmtId="166" xfId="0" applyBorder="1" applyFont="1" applyNumberFormat="1"/>
    <xf borderId="21" fillId="2" fontId="31" numFmtId="166" xfId="0" applyAlignment="1" applyBorder="1" applyFont="1" applyNumberFormat="1">
      <alignment horizontal="center"/>
    </xf>
    <xf borderId="0" fillId="0" fontId="29" numFmtId="166" xfId="0" applyFont="1" applyNumberFormat="1"/>
    <xf borderId="0" fillId="2" fontId="31" numFmtId="166" xfId="0" applyFont="1" applyNumberFormat="1"/>
    <xf borderId="0" fillId="2" fontId="29" numFmtId="4" xfId="0" applyAlignment="1" applyFont="1" applyNumberFormat="1">
      <alignment horizontal="center"/>
    </xf>
    <xf borderId="0" fillId="2" fontId="31" numFmtId="4" xfId="0" applyFont="1" applyNumberFormat="1"/>
    <xf borderId="0" fillId="2" fontId="31" numFmtId="10" xfId="0" applyFont="1" applyNumberFormat="1"/>
    <xf borderId="0" fillId="2" fontId="31" numFmtId="10" xfId="0" applyAlignment="1" applyFont="1" applyNumberFormat="1">
      <alignment horizontal="center"/>
    </xf>
    <xf borderId="0" fillId="0" fontId="31" numFmtId="0" xfId="0" applyFont="1"/>
    <xf borderId="37" fillId="12" fontId="29" numFmtId="49" xfId="0" applyAlignment="1" applyBorder="1" applyFont="1" applyNumberFormat="1">
      <alignment vertical="bottom"/>
    </xf>
    <xf borderId="34" fillId="12" fontId="29" numFmtId="49" xfId="0" applyAlignment="1" applyBorder="1" applyFont="1" applyNumberFormat="1">
      <alignment horizontal="center"/>
    </xf>
    <xf borderId="39" fillId="12" fontId="29" numFmtId="0" xfId="0" applyAlignment="1" applyBorder="1" applyFont="1">
      <alignment horizontal="left"/>
    </xf>
    <xf borderId="20" fillId="12" fontId="29" numFmtId="49" xfId="0" applyAlignment="1" applyBorder="1" applyFont="1" applyNumberFormat="1">
      <alignment horizontal="center"/>
    </xf>
    <xf borderId="39" fillId="12" fontId="29" numFmtId="0" xfId="0" applyAlignment="1" applyBorder="1" applyFont="1">
      <alignment horizontal="center"/>
    </xf>
    <xf borderId="20" fillId="0" fontId="29" numFmtId="173" xfId="0" applyBorder="1" applyFont="1" applyNumberFormat="1"/>
    <xf borderId="31" fillId="0" fontId="29" numFmtId="0" xfId="0" applyBorder="1" applyFont="1"/>
    <xf borderId="31" fillId="0" fontId="29" numFmtId="0" xfId="0" applyAlignment="1" applyBorder="1" applyFont="1">
      <alignment horizontal="center"/>
    </xf>
    <xf borderId="0" fillId="2" fontId="65" numFmtId="0" xfId="0" applyFont="1"/>
    <xf borderId="0" fillId="0" fontId="66" numFmtId="0" xfId="0" applyAlignment="1" applyFont="1">
      <alignment shrinkToFit="0" vertical="bottom" wrapText="0"/>
    </xf>
    <xf borderId="0" fillId="2" fontId="65" numFmtId="0" xfId="0" applyAlignment="1" applyFont="1">
      <alignment horizontal="center"/>
    </xf>
    <xf borderId="0" fillId="2" fontId="65" numFmtId="10" xfId="0" applyFont="1" applyNumberFormat="1"/>
    <xf borderId="0" fillId="2" fontId="32" numFmtId="166" xfId="0" applyFont="1" applyNumberFormat="1"/>
    <xf borderId="0" fillId="0" fontId="67" numFmtId="166" xfId="0" applyAlignment="1" applyFont="1" applyNumberFormat="1">
      <alignment shrinkToFit="0" vertical="bottom" wrapText="0"/>
    </xf>
    <xf borderId="20" fillId="2" fontId="29" numFmtId="166" xfId="0" applyAlignment="1" applyBorder="1" applyFont="1" applyNumberFormat="1">
      <alignment horizontal="right"/>
    </xf>
    <xf borderId="0" fillId="2" fontId="29" numFmtId="3" xfId="0" applyFont="1" applyNumberFormat="1"/>
    <xf borderId="0" fillId="0" fontId="67" numFmtId="3" xfId="0" applyAlignment="1" applyFont="1" applyNumberFormat="1">
      <alignment shrinkToFit="0" vertical="bottom" wrapText="0"/>
    </xf>
    <xf borderId="0" fillId="2" fontId="29" numFmtId="3" xfId="0" applyAlignment="1" applyFont="1" applyNumberFormat="1">
      <alignment horizontal="center"/>
    </xf>
    <xf borderId="31" fillId="2" fontId="54" numFmtId="166" xfId="0" applyBorder="1" applyFont="1" applyNumberFormat="1"/>
    <xf borderId="31" fillId="0" fontId="68" numFmtId="166" xfId="0" applyAlignment="1" applyBorder="1" applyFont="1" applyNumberFormat="1">
      <alignment shrinkToFit="0" vertical="bottom" wrapText="0"/>
    </xf>
    <xf borderId="31" fillId="2" fontId="54" numFmtId="166" xfId="0" applyAlignment="1" applyBorder="1" applyFont="1" applyNumberFormat="1">
      <alignment horizontal="center"/>
    </xf>
    <xf borderId="21" fillId="0" fontId="54" numFmtId="166" xfId="0" applyBorder="1" applyFont="1" applyNumberFormat="1"/>
    <xf borderId="21" fillId="2" fontId="54" numFmtId="166" xfId="0" applyBorder="1" applyFont="1" applyNumberFormat="1"/>
    <xf borderId="20" fillId="14" fontId="29" numFmtId="166" xfId="0" applyBorder="1" applyFont="1" applyNumberFormat="1"/>
    <xf borderId="30" fillId="2" fontId="54" numFmtId="166" xfId="0" applyBorder="1" applyFont="1" applyNumberFormat="1"/>
    <xf borderId="0" fillId="2" fontId="49" numFmtId="166" xfId="0" applyFont="1" applyNumberFormat="1"/>
    <xf borderId="0" fillId="2" fontId="49" numFmtId="166" xfId="0" applyAlignment="1" applyFont="1" applyNumberFormat="1">
      <alignment horizontal="center"/>
    </xf>
    <xf borderId="41" fillId="2" fontId="49" numFmtId="166" xfId="0" applyBorder="1" applyFont="1" applyNumberFormat="1"/>
    <xf borderId="0" fillId="0" fontId="67" numFmtId="0" xfId="0" applyAlignment="1" applyFont="1">
      <alignment shrinkToFit="0" vertical="bottom" wrapText="0"/>
    </xf>
    <xf borderId="31" fillId="2" fontId="54" numFmtId="0" xfId="0" applyBorder="1" applyFont="1"/>
    <xf borderId="31" fillId="0" fontId="68" numFmtId="0" xfId="0" applyAlignment="1" applyBorder="1" applyFont="1">
      <alignment shrinkToFit="0" vertical="bottom" wrapText="0"/>
    </xf>
    <xf borderId="31" fillId="2" fontId="54" numFmtId="0" xfId="0" applyAlignment="1" applyBorder="1" applyFont="1">
      <alignment horizontal="center"/>
    </xf>
    <xf borderId="31" fillId="2" fontId="54" numFmtId="4" xfId="0" applyBorder="1" applyFont="1" applyNumberFormat="1"/>
    <xf borderId="40" fillId="12" fontId="29" numFmtId="49" xfId="0" applyAlignment="1" applyBorder="1" applyFont="1" applyNumberFormat="1">
      <alignment horizontal="center"/>
    </xf>
    <xf borderId="41" fillId="12" fontId="29" numFmtId="49" xfId="0" applyAlignment="1" applyBorder="1" applyFont="1" applyNumberFormat="1">
      <alignment horizontal="center"/>
    </xf>
    <xf borderId="41" fillId="12" fontId="29" numFmtId="0" xfId="0" applyAlignment="1" applyBorder="1" applyFont="1">
      <alignment horizontal="center"/>
    </xf>
    <xf borderId="0" fillId="0" fontId="29" numFmtId="173" xfId="0" applyFont="1" applyNumberFormat="1"/>
    <xf borderId="0" fillId="0" fontId="29" numFmtId="171" xfId="0" applyFont="1" applyNumberFormat="1"/>
    <xf borderId="41" fillId="0" fontId="29" numFmtId="171" xfId="0" applyBorder="1" applyFont="1" applyNumberFormat="1"/>
    <xf borderId="0" fillId="2" fontId="29" numFmtId="171" xfId="0" applyFont="1" applyNumberFormat="1"/>
    <xf borderId="0" fillId="2" fontId="29" numFmtId="173" xfId="0" applyFont="1" applyNumberFormat="1"/>
    <xf borderId="0" fillId="12" fontId="29" numFmtId="166" xfId="0" applyFont="1" applyNumberFormat="1"/>
    <xf borderId="41" fillId="12" fontId="29" numFmtId="0" xfId="0" applyBorder="1" applyFont="1"/>
    <xf borderId="39" fillId="2" fontId="65" numFmtId="0" xfId="0" applyBorder="1" applyFont="1"/>
    <xf borderId="39" fillId="2" fontId="32" numFmtId="166" xfId="0" applyBorder="1" applyFont="1" applyNumberFormat="1"/>
    <xf borderId="39" fillId="2" fontId="54" numFmtId="166" xfId="0" applyBorder="1" applyFont="1" applyNumberFormat="1"/>
    <xf borderId="0" fillId="0" fontId="68" numFmtId="166" xfId="0" applyAlignment="1" applyFont="1" applyNumberFormat="1">
      <alignment shrinkToFit="0" vertical="bottom" wrapText="0"/>
    </xf>
    <xf borderId="0" fillId="2" fontId="54" numFmtId="166" xfId="0" applyFont="1" applyNumberFormat="1"/>
    <xf borderId="0" fillId="2" fontId="54" numFmtId="166" xfId="0" applyAlignment="1" applyFont="1" applyNumberFormat="1">
      <alignment horizontal="center"/>
    </xf>
    <xf borderId="41" fillId="2" fontId="54" numFmtId="166" xfId="0" applyBorder="1" applyFont="1" applyNumberFormat="1"/>
    <xf borderId="39" fillId="2" fontId="29" numFmtId="3" xfId="0" applyBorder="1" applyFont="1" applyNumberFormat="1"/>
    <xf borderId="0" fillId="0" fontId="66" numFmtId="166" xfId="0" applyAlignment="1" applyFont="1" applyNumberFormat="1">
      <alignment shrinkToFit="0" vertical="bottom" wrapText="0"/>
    </xf>
    <xf borderId="41" fillId="0" fontId="29" numFmtId="166" xfId="0" applyBorder="1" applyFont="1" applyNumberFormat="1"/>
    <xf borderId="0" fillId="2" fontId="69" numFmtId="166" xfId="0" applyAlignment="1" applyFont="1" applyNumberFormat="1">
      <alignment horizontal="center"/>
    </xf>
    <xf borderId="41" fillId="0" fontId="29" numFmtId="0" xfId="0" applyBorder="1" applyFont="1"/>
    <xf borderId="41" fillId="0" fontId="54" numFmtId="166" xfId="0" applyBorder="1" applyFont="1" applyNumberFormat="1"/>
    <xf borderId="0" fillId="0" fontId="67" numFmtId="4" xfId="0" applyAlignment="1" applyFont="1" applyNumberFormat="1">
      <alignment shrinkToFit="0" vertical="bottom" wrapText="0"/>
    </xf>
    <xf borderId="0" fillId="24" fontId="67" numFmtId="166" xfId="0" applyAlignment="1" applyFill="1" applyFont="1" applyNumberFormat="1">
      <alignment shrinkToFit="0" vertical="bottom" wrapText="0"/>
    </xf>
    <xf borderId="0" fillId="24" fontId="29" numFmtId="166" xfId="0" applyFont="1" applyNumberFormat="1"/>
    <xf borderId="0" fillId="24" fontId="29" numFmtId="166" xfId="0" applyAlignment="1" applyFont="1" applyNumberFormat="1">
      <alignment horizontal="center"/>
    </xf>
    <xf borderId="0" fillId="24" fontId="29" numFmtId="10" xfId="0" applyFont="1" applyNumberFormat="1"/>
    <xf borderId="39" fillId="2" fontId="49" numFmtId="10" xfId="0" applyBorder="1" applyFont="1" applyNumberFormat="1"/>
    <xf borderId="0" fillId="24" fontId="67" numFmtId="0" xfId="0" applyAlignment="1" applyFont="1">
      <alignment shrinkToFit="0" vertical="bottom" wrapText="0"/>
    </xf>
    <xf borderId="0" fillId="24" fontId="49" numFmtId="0" xfId="0" applyFont="1"/>
    <xf borderId="0" fillId="24" fontId="49" numFmtId="0" xfId="0" applyAlignment="1" applyFont="1">
      <alignment horizontal="center"/>
    </xf>
    <xf borderId="0" fillId="22" fontId="29" numFmtId="166" xfId="0" applyFont="1" applyNumberFormat="1"/>
    <xf borderId="41" fillId="22" fontId="29" numFmtId="166" xfId="0" applyBorder="1" applyFont="1" applyNumberFormat="1"/>
    <xf borderId="0" fillId="2" fontId="49" numFmtId="49" xfId="0" applyFont="1" applyNumberFormat="1"/>
    <xf borderId="0" fillId="16" fontId="29" numFmtId="166" xfId="0" applyAlignment="1" applyFont="1" applyNumberFormat="1">
      <alignment horizontal="center"/>
    </xf>
    <xf borderId="39" fillId="2" fontId="29" numFmtId="10" xfId="0" applyBorder="1" applyFont="1" applyNumberFormat="1"/>
    <xf borderId="0" fillId="0" fontId="70" numFmtId="0" xfId="0" applyAlignment="1" applyFont="1">
      <alignment horizontal="right" shrinkToFit="0" vertical="bottom" wrapText="0"/>
    </xf>
    <xf borderId="41" fillId="0" fontId="70" numFmtId="0" xfId="0" applyAlignment="1" applyBorder="1" applyFont="1">
      <alignment horizontal="right" shrinkToFit="0" vertical="bottom" wrapText="0"/>
    </xf>
    <xf borderId="0" fillId="23" fontId="67" numFmtId="0" xfId="0" applyAlignment="1" applyFont="1">
      <alignment shrinkToFit="0" vertical="bottom" wrapText="0"/>
    </xf>
    <xf borderId="0" fillId="23" fontId="29" numFmtId="0" xfId="0" applyFont="1"/>
    <xf borderId="0" fillId="23" fontId="67" numFmtId="0" xfId="0" applyAlignment="1" applyFont="1">
      <alignment horizontal="center" shrinkToFit="0" vertical="bottom" wrapText="0"/>
    </xf>
    <xf borderId="0" fillId="23" fontId="67" numFmtId="167" xfId="0" applyAlignment="1" applyFont="1" applyNumberFormat="1">
      <alignment horizontal="center" shrinkToFit="0" vertical="bottom" wrapText="0"/>
    </xf>
    <xf borderId="31" fillId="23" fontId="67" numFmtId="0" xfId="0" applyAlignment="1" applyBorder="1" applyFont="1">
      <alignment shrinkToFit="0" vertical="bottom" wrapText="0"/>
    </xf>
    <xf borderId="31" fillId="23" fontId="29" numFmtId="0" xfId="0" applyBorder="1" applyFont="1"/>
    <xf borderId="31" fillId="23" fontId="67" numFmtId="0" xfId="0" applyAlignment="1" applyBorder="1" applyFont="1">
      <alignment horizontal="center" shrinkToFit="0" vertical="bottom" wrapText="0"/>
    </xf>
    <xf borderId="31" fillId="23" fontId="67" numFmtId="167" xfId="0" applyAlignment="1" applyBorder="1" applyFont="1" applyNumberFormat="1">
      <alignment horizontal="center" shrinkToFit="0" vertical="bottom" wrapText="0"/>
    </xf>
    <xf borderId="31" fillId="2" fontId="29" numFmtId="0" xfId="0" applyBorder="1" applyFont="1"/>
    <xf borderId="31" fillId="2" fontId="29" numFmtId="166" xfId="0" applyBorder="1" applyFont="1" applyNumberFormat="1"/>
    <xf borderId="32" fillId="2" fontId="29" numFmtId="0" xfId="0" applyBorder="1" applyFont="1"/>
    <xf borderId="0" fillId="14" fontId="29" numFmtId="0" xfId="0" applyFont="1"/>
    <xf borderId="0" fillId="14" fontId="29" numFmtId="166" xfId="0" applyFont="1" applyNumberFormat="1"/>
    <xf borderId="0" fillId="14" fontId="29" numFmtId="10" xfId="0" applyFont="1" applyNumberFormat="1"/>
    <xf borderId="0" fillId="14" fontId="29" numFmtId="166" xfId="0" applyAlignment="1" applyFont="1" applyNumberFormat="1">
      <alignment horizontal="center"/>
    </xf>
    <xf borderId="0" fillId="14" fontId="29" numFmtId="0" xfId="0" applyAlignment="1" applyFont="1">
      <alignment horizontal="center"/>
    </xf>
    <xf borderId="41" fillId="2" fontId="29" numFmtId="172" xfId="0" applyBorder="1" applyFont="1" applyNumberFormat="1"/>
    <xf borderId="0" fillId="14" fontId="29" numFmtId="172" xfId="0" applyFont="1" applyNumberFormat="1"/>
    <xf borderId="0" fillId="14" fontId="29" numFmtId="172" xfId="0" applyAlignment="1" applyFont="1" applyNumberFormat="1">
      <alignment horizontal="center"/>
    </xf>
    <xf borderId="0" fillId="0" fontId="16" numFmtId="0" xfId="0" applyAlignment="1" applyFont="1">
      <alignment horizontal="center"/>
    </xf>
    <xf borderId="31" fillId="2" fontId="71" numFmtId="166" xfId="0" applyAlignment="1" applyBorder="1" applyFont="1" applyNumberFormat="1">
      <alignment horizontal="center"/>
    </xf>
    <xf borderId="31" fillId="2" fontId="71" numFmtId="0" xfId="0" applyAlignment="1" applyBorder="1" applyFont="1">
      <alignment horizontal="center"/>
    </xf>
    <xf borderId="31" fillId="2" fontId="72" numFmtId="0" xfId="0" applyAlignment="1" applyBorder="1" applyFont="1">
      <alignment horizontal="center"/>
    </xf>
    <xf borderId="31" fillId="2" fontId="72" numFmtId="166" xfId="0" applyAlignment="1" applyBorder="1" applyFont="1" applyNumberFormat="1">
      <alignment horizontal="center"/>
    </xf>
    <xf borderId="41" fillId="2" fontId="29" numFmtId="10" xfId="0" applyBorder="1" applyFont="1" applyNumberFormat="1"/>
    <xf borderId="0" fillId="0" fontId="13" numFmtId="10" xfId="0" applyAlignment="1" applyFont="1" applyNumberFormat="1">
      <alignment horizontal="center"/>
    </xf>
    <xf borderId="39" fillId="0" fontId="13" numFmtId="172" xfId="0" applyAlignment="1" applyBorder="1" applyFont="1" applyNumberFormat="1">
      <alignment horizontal="center"/>
    </xf>
    <xf borderId="0" fillId="0" fontId="73" numFmtId="0" xfId="0" applyAlignment="1" applyFont="1">
      <alignment shrinkToFit="0" vertical="bottom" wrapText="0"/>
    </xf>
    <xf borderId="0" fillId="0" fontId="67" numFmtId="170" xfId="0" applyAlignment="1" applyFont="1" applyNumberFormat="1">
      <alignment horizontal="center" shrinkToFit="0" vertical="bottom" wrapText="0"/>
    </xf>
    <xf borderId="0" fillId="0" fontId="67" numFmtId="10" xfId="0" applyAlignment="1" applyFont="1" applyNumberFormat="1">
      <alignment horizontal="center" shrinkToFit="0" vertical="bottom" wrapText="0"/>
    </xf>
    <xf borderId="0" fillId="14" fontId="74" numFmtId="0" xfId="0" applyAlignment="1" applyFont="1">
      <alignment vertical="bottom"/>
    </xf>
    <xf borderId="0" fillId="14" fontId="29" numFmtId="0" xfId="0" applyAlignment="1" applyFont="1">
      <alignment vertical="bottom"/>
    </xf>
    <xf borderId="34" fillId="14" fontId="66" numFmtId="0" xfId="0" applyAlignment="1" applyBorder="1" applyFont="1">
      <alignment shrinkToFit="0" vertical="bottom" wrapText="0"/>
    </xf>
    <xf borderId="34" fillId="14" fontId="66" numFmtId="10" xfId="0" applyAlignment="1" applyBorder="1" applyFont="1" applyNumberFormat="1">
      <alignment horizontal="center" shrinkToFit="0" vertical="bottom" wrapText="0"/>
    </xf>
    <xf borderId="0" fillId="0" fontId="75" numFmtId="0" xfId="0" applyAlignment="1" applyFont="1">
      <alignment vertical="bottom"/>
    </xf>
    <xf borderId="0" fillId="0" fontId="75" numFmtId="0" xfId="0" applyAlignment="1" applyFont="1">
      <alignment horizontal="right" vertical="bottom"/>
    </xf>
    <xf borderId="0" fillId="12" fontId="75" numFmtId="0" xfId="0" applyAlignment="1" applyFont="1">
      <alignment vertical="bottom"/>
    </xf>
    <xf borderId="0" fillId="12" fontId="75" numFmtId="0" xfId="0" applyAlignment="1" applyFont="1">
      <alignment horizontal="right" vertical="bottom"/>
    </xf>
    <xf borderId="0" fillId="0" fontId="75" numFmtId="166" xfId="0" applyAlignment="1" applyFont="1" applyNumberFormat="1">
      <alignment horizontal="right" vertical="bottom"/>
    </xf>
    <xf borderId="0" fillId="0" fontId="75" numFmtId="49" xfId="0" applyAlignment="1" applyFont="1" applyNumberFormat="1">
      <alignment horizontal="right" vertical="bottom"/>
    </xf>
    <xf borderId="0" fillId="0" fontId="75" numFmtId="172" xfId="0" applyAlignment="1" applyFont="1" applyNumberFormat="1">
      <alignment vertical="bottom"/>
    </xf>
    <xf borderId="0" fillId="17" fontId="75" numFmtId="0" xfId="0" applyAlignment="1" applyFont="1">
      <alignment vertical="bottom"/>
    </xf>
    <xf borderId="0" fillId="17" fontId="75" numFmtId="166" xfId="0" applyAlignment="1" applyFont="1" applyNumberFormat="1">
      <alignment vertical="bottom"/>
    </xf>
    <xf borderId="0" fillId="17" fontId="75" numFmtId="166" xfId="0" applyAlignment="1" applyFont="1" applyNumberFormat="1">
      <alignment horizontal="right" vertical="bottom"/>
    </xf>
    <xf borderId="0" fillId="0" fontId="75" numFmtId="166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1">
    <tableStyle count="2" pivot="0" name="ProjectReturn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G62:H65" displayName="Table_1" name="Table_1" id="1">
  <tableColumns count="2">
    <tableColumn name="Column1" id="1"/>
    <tableColumn name="Column2" id="2"/>
  </tableColumns>
  <tableStyleInfo name="ProjectRetur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6" max="16" width="18.75"/>
    <col customWidth="1" min="25" max="25" width="14.0"/>
    <col customWidth="1" min="26" max="26" width="15.0"/>
    <col customWidth="1" min="27" max="27" width="15.25"/>
    <col customWidth="1" min="28" max="28" width="16.13"/>
    <col customWidth="1" min="29" max="29" width="14.75"/>
    <col customWidth="1" min="30" max="30" width="1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1"/>
      <c r="B2" s="1"/>
      <c r="C2" s="2" t="s">
        <v>0</v>
      </c>
      <c r="D2" s="3">
        <v>8.0E8</v>
      </c>
      <c r="E2" s="4">
        <v>0.5</v>
      </c>
      <c r="F2" s="5">
        <f>D2*E2</f>
        <v>400000000</v>
      </c>
      <c r="G2" s="3">
        <f>F2/12</f>
        <v>33333333.33</v>
      </c>
      <c r="H2" s="6"/>
      <c r="I2" s="7"/>
      <c r="J2" s="8"/>
      <c r="K2" s="1"/>
      <c r="L2" s="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1"/>
      <c r="B3" s="10"/>
      <c r="C3" s="11" t="s">
        <v>1</v>
      </c>
      <c r="D3" s="1"/>
      <c r="E3" s="1"/>
      <c r="F3" s="1"/>
      <c r="G3" s="1"/>
      <c r="H3" s="1"/>
      <c r="I3" s="1"/>
      <c r="J3" s="1"/>
      <c r="K3" s="12"/>
      <c r="L3" s="11" t="s">
        <v>2</v>
      </c>
      <c r="M3" s="1"/>
      <c r="N3" s="1"/>
      <c r="O3" s="1"/>
      <c r="P3" s="1"/>
      <c r="R3" s="1"/>
      <c r="S3" s="13">
        <v>12.0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1"/>
      <c r="B4" s="1"/>
      <c r="C4" s="1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5" t="s">
        <v>4</v>
      </c>
      <c r="Q4" s="16">
        <v>0.05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1"/>
      <c r="C5" s="17" t="s">
        <v>5</v>
      </c>
      <c r="D5" s="17" t="s">
        <v>6</v>
      </c>
      <c r="E5" s="17" t="s">
        <v>7</v>
      </c>
      <c r="F5" s="17" t="s">
        <v>8</v>
      </c>
      <c r="G5" s="17" t="s">
        <v>9</v>
      </c>
      <c r="H5" s="17" t="s">
        <v>10</v>
      </c>
      <c r="I5" s="1"/>
      <c r="J5" s="1"/>
      <c r="K5" s="1"/>
      <c r="L5" s="11" t="s">
        <v>11</v>
      </c>
      <c r="M5" s="18">
        <v>0.05</v>
      </c>
      <c r="N5" s="19">
        <v>1.05</v>
      </c>
      <c r="O5" s="1"/>
      <c r="P5" s="17" t="s">
        <v>12</v>
      </c>
      <c r="Q5" s="20">
        <v>2023.0</v>
      </c>
      <c r="R5" s="17" t="s">
        <v>13</v>
      </c>
      <c r="S5" s="17" t="s">
        <v>6</v>
      </c>
      <c r="T5" s="17" t="s">
        <v>7</v>
      </c>
      <c r="U5" s="17" t="s">
        <v>8</v>
      </c>
      <c r="V5" s="17" t="s">
        <v>9</v>
      </c>
      <c r="W5" s="1"/>
      <c r="X5" s="1"/>
      <c r="Y5" s="21" t="s">
        <v>14</v>
      </c>
      <c r="Z5" s="22" t="s">
        <v>13</v>
      </c>
      <c r="AA5" s="17" t="s">
        <v>6</v>
      </c>
      <c r="AB5" s="22" t="s">
        <v>7</v>
      </c>
      <c r="AC5" s="17" t="s">
        <v>8</v>
      </c>
      <c r="AD5" s="23" t="s">
        <v>9</v>
      </c>
      <c r="AE5" s="1"/>
      <c r="AF5" s="1"/>
      <c r="AG5" s="1"/>
    </row>
    <row r="6">
      <c r="A6" s="1"/>
      <c r="B6" s="1"/>
      <c r="C6" s="24" t="s">
        <v>15</v>
      </c>
      <c r="D6" s="25">
        <v>8000000.0</v>
      </c>
      <c r="E6" s="25">
        <v>1.0E7</v>
      </c>
      <c r="F6" s="26">
        <v>1.2E7</v>
      </c>
      <c r="G6" s="26">
        <v>1.2E7</v>
      </c>
      <c r="H6" s="26">
        <v>1.2E7</v>
      </c>
      <c r="I6" s="1"/>
      <c r="J6" s="1"/>
      <c r="K6" s="1"/>
      <c r="L6" s="27" t="s">
        <v>16</v>
      </c>
      <c r="M6" s="28">
        <v>2.3</v>
      </c>
      <c r="N6" s="1" t="s">
        <v>17</v>
      </c>
      <c r="O6" s="1"/>
      <c r="P6" s="29" t="s">
        <v>18</v>
      </c>
      <c r="Q6" s="30">
        <v>800000.0</v>
      </c>
      <c r="R6" s="31">
        <f t="shared" ref="R6:V6" si="1">Q6*$N$5</f>
        <v>840000</v>
      </c>
      <c r="S6" s="31">
        <f t="shared" si="1"/>
        <v>882000</v>
      </c>
      <c r="T6" s="31">
        <f t="shared" si="1"/>
        <v>926100</v>
      </c>
      <c r="U6" s="31">
        <f t="shared" si="1"/>
        <v>972405</v>
      </c>
      <c r="V6" s="31">
        <f t="shared" si="1"/>
        <v>1021025.25</v>
      </c>
      <c r="W6" s="6"/>
      <c r="X6" s="32">
        <v>30.0</v>
      </c>
      <c r="Y6" s="33" t="s">
        <v>19</v>
      </c>
      <c r="Z6" s="34">
        <f t="shared" ref="Z6:AD6" si="2">(D7*D8)/12</f>
        <v>18400000</v>
      </c>
      <c r="AA6" s="35">
        <f t="shared" si="2"/>
        <v>24150000</v>
      </c>
      <c r="AB6" s="34">
        <f t="shared" si="2"/>
        <v>30429000</v>
      </c>
      <c r="AC6" s="35">
        <f t="shared" si="2"/>
        <v>31950450</v>
      </c>
      <c r="AD6" s="36">
        <f t="shared" si="2"/>
        <v>33547972.5</v>
      </c>
      <c r="AE6" s="1"/>
      <c r="AF6" s="1"/>
      <c r="AG6" s="1"/>
    </row>
    <row r="7">
      <c r="A7" s="1"/>
      <c r="B7" s="1"/>
      <c r="C7" s="37" t="s">
        <v>20</v>
      </c>
      <c r="D7" s="38">
        <f t="shared" ref="D7:H7" si="3">D6*12</f>
        <v>96000000</v>
      </c>
      <c r="E7" s="38">
        <f t="shared" si="3"/>
        <v>120000000</v>
      </c>
      <c r="F7" s="38">
        <f t="shared" si="3"/>
        <v>144000000</v>
      </c>
      <c r="G7" s="38">
        <f t="shared" si="3"/>
        <v>144000000</v>
      </c>
      <c r="H7" s="38">
        <f t="shared" si="3"/>
        <v>144000000</v>
      </c>
      <c r="I7" s="1"/>
      <c r="J7" s="1"/>
      <c r="K7" s="1"/>
      <c r="L7" s="11" t="s">
        <v>21</v>
      </c>
      <c r="M7" s="39">
        <v>0.5</v>
      </c>
      <c r="N7" s="1" t="s">
        <v>17</v>
      </c>
      <c r="O7" s="1"/>
      <c r="P7" s="15" t="s">
        <v>22</v>
      </c>
      <c r="Q7" s="40">
        <v>470000.0</v>
      </c>
      <c r="R7" s="41">
        <f>Q7*$N$5+R18</f>
        <v>410166.6667</v>
      </c>
      <c r="S7" s="41">
        <f t="shared" ref="S7:V7" si="4">R7*$N$5</f>
        <v>430675</v>
      </c>
      <c r="T7" s="41">
        <f t="shared" si="4"/>
        <v>452208.75</v>
      </c>
      <c r="U7" s="41">
        <f t="shared" si="4"/>
        <v>474819.1875</v>
      </c>
      <c r="V7" s="41">
        <f t="shared" si="4"/>
        <v>498560.1469</v>
      </c>
      <c r="W7" s="6"/>
      <c r="X7" s="32">
        <v>20.0</v>
      </c>
      <c r="Y7" s="33" t="s">
        <v>23</v>
      </c>
      <c r="Z7" s="34">
        <f t="shared" ref="Z7:AD7" si="5">(Z6/30)*20</f>
        <v>12266666.67</v>
      </c>
      <c r="AA7" s="35">
        <f t="shared" si="5"/>
        <v>16100000</v>
      </c>
      <c r="AB7" s="34">
        <f t="shared" si="5"/>
        <v>20286000</v>
      </c>
      <c r="AC7" s="35">
        <f t="shared" si="5"/>
        <v>21300300</v>
      </c>
      <c r="AD7" s="36">
        <f t="shared" si="5"/>
        <v>22365315</v>
      </c>
      <c r="AE7" s="1"/>
      <c r="AF7" s="1"/>
      <c r="AG7" s="1"/>
    </row>
    <row r="8">
      <c r="A8" s="1"/>
      <c r="B8" s="1"/>
      <c r="C8" s="37" t="s">
        <v>24</v>
      </c>
      <c r="D8" s="42">
        <f>$M$6</f>
        <v>2.3</v>
      </c>
      <c r="E8" s="42">
        <f t="shared" ref="E8:H8" si="6">D8*$N$5</f>
        <v>2.415</v>
      </c>
      <c r="F8" s="42">
        <f t="shared" si="6"/>
        <v>2.53575</v>
      </c>
      <c r="G8" s="42">
        <f t="shared" si="6"/>
        <v>2.6625375</v>
      </c>
      <c r="H8" s="42">
        <f t="shared" si="6"/>
        <v>2.795664375</v>
      </c>
      <c r="I8" s="1"/>
      <c r="J8" s="1"/>
      <c r="K8" s="1"/>
      <c r="L8" s="11" t="s">
        <v>25</v>
      </c>
      <c r="M8" s="39">
        <v>0.1</v>
      </c>
      <c r="N8" s="1" t="s">
        <v>17</v>
      </c>
      <c r="O8" s="1"/>
      <c r="P8" s="29" t="s">
        <v>26</v>
      </c>
      <c r="Q8" s="43">
        <v>0.05</v>
      </c>
      <c r="R8" s="31">
        <f t="shared" ref="R8:V8" si="7">Q8*$N$5</f>
        <v>0.0525</v>
      </c>
      <c r="S8" s="31">
        <f t="shared" si="7"/>
        <v>0.055125</v>
      </c>
      <c r="T8" s="31">
        <f t="shared" si="7"/>
        <v>0.05788125</v>
      </c>
      <c r="U8" s="31">
        <f t="shared" si="7"/>
        <v>0.0607753125</v>
      </c>
      <c r="V8" s="31">
        <f t="shared" si="7"/>
        <v>0.06381407813</v>
      </c>
      <c r="W8" s="9"/>
      <c r="X8" s="32">
        <v>5.0</v>
      </c>
      <c r="Y8" s="33" t="s">
        <v>27</v>
      </c>
      <c r="Z8" s="34">
        <f t="shared" ref="Z8:AD8" si="8">(Z6/30)*5</f>
        <v>3066666.667</v>
      </c>
      <c r="AA8" s="35">
        <f t="shared" si="8"/>
        <v>4025000</v>
      </c>
      <c r="AB8" s="34">
        <f t="shared" si="8"/>
        <v>5071500</v>
      </c>
      <c r="AC8" s="35">
        <f t="shared" si="8"/>
        <v>5325075</v>
      </c>
      <c r="AD8" s="36">
        <f t="shared" si="8"/>
        <v>5591328.75</v>
      </c>
      <c r="AE8" s="1"/>
      <c r="AF8" s="1"/>
      <c r="AG8" s="1"/>
    </row>
    <row r="9">
      <c r="A9" s="1"/>
      <c r="B9" s="1"/>
      <c r="C9" s="37" t="s">
        <v>28</v>
      </c>
      <c r="D9" s="42">
        <f>$M$7</f>
        <v>0.5</v>
      </c>
      <c r="E9" s="42">
        <f t="shared" ref="E9:H9" si="9">D9*$N$5</f>
        <v>0.525</v>
      </c>
      <c r="F9" s="42">
        <f t="shared" si="9"/>
        <v>0.55125</v>
      </c>
      <c r="G9" s="42">
        <f t="shared" si="9"/>
        <v>0.5788125</v>
      </c>
      <c r="H9" s="42">
        <f t="shared" si="9"/>
        <v>0.607753125</v>
      </c>
      <c r="I9" s="1"/>
      <c r="J9" s="1"/>
      <c r="K9" s="1"/>
      <c r="L9" s="1" t="s">
        <v>29</v>
      </c>
      <c r="M9" s="44">
        <v>1000.0</v>
      </c>
      <c r="N9" s="1" t="s">
        <v>30</v>
      </c>
      <c r="O9" s="1"/>
      <c r="P9" s="29" t="s">
        <v>31</v>
      </c>
      <c r="Q9" s="45">
        <v>0.012</v>
      </c>
      <c r="R9" s="31">
        <v>0.012</v>
      </c>
      <c r="S9" s="31">
        <v>0.012</v>
      </c>
      <c r="T9" s="31">
        <v>0.012</v>
      </c>
      <c r="U9" s="31">
        <v>0.012</v>
      </c>
      <c r="V9" s="31">
        <v>0.012</v>
      </c>
      <c r="W9" s="46"/>
      <c r="X9" s="1"/>
      <c r="Y9" s="47" t="s">
        <v>32</v>
      </c>
      <c r="Z9" s="48">
        <f t="shared" ref="Z9:AD9" si="10">Z6+Z7-Z8</f>
        <v>27600000</v>
      </c>
      <c r="AA9" s="49">
        <f t="shared" si="10"/>
        <v>36225000</v>
      </c>
      <c r="AB9" s="48">
        <f t="shared" si="10"/>
        <v>45643500</v>
      </c>
      <c r="AC9" s="49">
        <f t="shared" si="10"/>
        <v>47925675</v>
      </c>
      <c r="AD9" s="50">
        <f t="shared" si="10"/>
        <v>50321958.75</v>
      </c>
      <c r="AE9" s="1"/>
      <c r="AF9" s="1"/>
      <c r="AG9" s="1"/>
    </row>
    <row r="10">
      <c r="A10" s="1"/>
      <c r="B10" s="1"/>
      <c r="C10" s="37" t="s">
        <v>33</v>
      </c>
      <c r="D10" s="42">
        <f t="shared" ref="D10:H10" si="11">D8+D9</f>
        <v>2.8</v>
      </c>
      <c r="E10" s="42">
        <f t="shared" si="11"/>
        <v>2.94</v>
      </c>
      <c r="F10" s="42">
        <f t="shared" si="11"/>
        <v>3.087</v>
      </c>
      <c r="G10" s="42">
        <f t="shared" si="11"/>
        <v>3.24135</v>
      </c>
      <c r="H10" s="42">
        <f t="shared" si="11"/>
        <v>3.4034175</v>
      </c>
      <c r="I10" s="1"/>
      <c r="J10" s="1"/>
      <c r="K10" s="1"/>
      <c r="L10" s="51" t="s">
        <v>34</v>
      </c>
      <c r="M10" s="52">
        <v>0.1</v>
      </c>
      <c r="N10" s="53" t="s">
        <v>17</v>
      </c>
      <c r="O10" s="1"/>
      <c r="P10" s="29" t="s">
        <v>35</v>
      </c>
      <c r="Q10" s="54"/>
      <c r="R10" s="55">
        <f t="shared" ref="R10:V10" si="12">D6*R9</f>
        <v>96000</v>
      </c>
      <c r="S10" s="55">
        <f t="shared" si="12"/>
        <v>120000</v>
      </c>
      <c r="T10" s="55">
        <f t="shared" si="12"/>
        <v>144000</v>
      </c>
      <c r="U10" s="55">
        <f t="shared" si="12"/>
        <v>144000</v>
      </c>
      <c r="V10" s="55">
        <f t="shared" si="12"/>
        <v>144000</v>
      </c>
      <c r="W10" s="6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1"/>
      <c r="C11" s="56" t="s">
        <v>36</v>
      </c>
      <c r="D11" s="57">
        <f>$M$8</f>
        <v>0.1</v>
      </c>
      <c r="E11" s="57">
        <f t="shared" ref="E11:H11" si="13">D11*$N$5</f>
        <v>0.105</v>
      </c>
      <c r="F11" s="57">
        <f t="shared" si="13"/>
        <v>0.11025</v>
      </c>
      <c r="G11" s="57">
        <f t="shared" si="13"/>
        <v>0.1157625</v>
      </c>
      <c r="H11" s="57">
        <f t="shared" si="13"/>
        <v>0.121550625</v>
      </c>
      <c r="I11" s="1"/>
      <c r="J11" s="1"/>
      <c r="K11" s="1"/>
      <c r="L11" s="1"/>
      <c r="M11" s="58"/>
      <c r="N11" s="1"/>
      <c r="O11" s="1"/>
      <c r="P11" s="29" t="s">
        <v>37</v>
      </c>
      <c r="Q11" s="59"/>
      <c r="R11" s="55">
        <f t="shared" ref="R11:V11" si="14">R10*D8</f>
        <v>220800</v>
      </c>
      <c r="S11" s="55">
        <f t="shared" si="14"/>
        <v>289800</v>
      </c>
      <c r="T11" s="55">
        <f t="shared" si="14"/>
        <v>365148</v>
      </c>
      <c r="U11" s="55">
        <f t="shared" si="14"/>
        <v>383405.4</v>
      </c>
      <c r="V11" s="55">
        <f t="shared" si="14"/>
        <v>402575.67</v>
      </c>
      <c r="W11" s="6"/>
      <c r="X11" s="1"/>
      <c r="Y11" s="11" t="s">
        <v>38</v>
      </c>
      <c r="Z11" s="60">
        <f t="shared" ref="Z11:AD11" si="15">Z9*$Z$15</f>
        <v>1380000</v>
      </c>
      <c r="AA11" s="60">
        <f t="shared" si="15"/>
        <v>1811250</v>
      </c>
      <c r="AB11" s="60">
        <f t="shared" si="15"/>
        <v>2282175</v>
      </c>
      <c r="AC11" s="60">
        <f t="shared" si="15"/>
        <v>2396283.75</v>
      </c>
      <c r="AD11" s="60">
        <f t="shared" si="15"/>
        <v>2516097.938</v>
      </c>
      <c r="AE11" s="1"/>
      <c r="AF11" s="1"/>
      <c r="AG11" s="1"/>
    </row>
    <row r="12">
      <c r="A12" s="1"/>
      <c r="B12" s="1"/>
      <c r="C12" s="61" t="s">
        <v>39</v>
      </c>
      <c r="D12" s="62">
        <f t="shared" ref="D12:H12" si="16">D10+D11</f>
        <v>2.9</v>
      </c>
      <c r="E12" s="62">
        <f t="shared" si="16"/>
        <v>3.045</v>
      </c>
      <c r="F12" s="62">
        <f t="shared" si="16"/>
        <v>3.19725</v>
      </c>
      <c r="G12" s="62">
        <f t="shared" si="16"/>
        <v>3.3571125</v>
      </c>
      <c r="H12" s="62">
        <f t="shared" si="16"/>
        <v>3.524968125</v>
      </c>
      <c r="I12" s="1"/>
      <c r="J12" s="1"/>
      <c r="K12" s="1"/>
      <c r="L12" s="1"/>
      <c r="M12" s="1"/>
      <c r="N12" s="1"/>
      <c r="O12" s="1"/>
      <c r="P12" s="29" t="s">
        <v>40</v>
      </c>
      <c r="Q12" s="63">
        <v>0.04</v>
      </c>
      <c r="R12" s="64">
        <f t="shared" ref="R12:V12" si="17">R11/D6</f>
        <v>0.0276</v>
      </c>
      <c r="S12" s="64">
        <f t="shared" si="17"/>
        <v>0.02898</v>
      </c>
      <c r="T12" s="64">
        <f t="shared" si="17"/>
        <v>0.030429</v>
      </c>
      <c r="U12" s="64">
        <f t="shared" si="17"/>
        <v>0.03195045</v>
      </c>
      <c r="V12" s="64">
        <f t="shared" si="17"/>
        <v>0.0335479725</v>
      </c>
      <c r="W12" s="9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9" t="s">
        <v>41</v>
      </c>
      <c r="Q13" s="30">
        <v>1610000.0</v>
      </c>
      <c r="R13" s="31">
        <f t="shared" ref="R13:V13" si="18">Q13*$N$5</f>
        <v>1690500</v>
      </c>
      <c r="S13" s="31">
        <f t="shared" si="18"/>
        <v>1775025</v>
      </c>
      <c r="T13" s="31">
        <f t="shared" si="18"/>
        <v>1863776.25</v>
      </c>
      <c r="U13" s="31">
        <f t="shared" si="18"/>
        <v>1956965.063</v>
      </c>
      <c r="V13" s="31">
        <f t="shared" si="18"/>
        <v>2054813.316</v>
      </c>
      <c r="W13" s="6"/>
      <c r="X13" s="1"/>
      <c r="Y13" s="65">
        <v>12.0</v>
      </c>
      <c r="Z13" s="60">
        <f t="shared" ref="Z13:AD13" si="19">Z11/$Y$13</f>
        <v>115000</v>
      </c>
      <c r="AA13" s="60">
        <f t="shared" si="19"/>
        <v>150937.5</v>
      </c>
      <c r="AB13" s="60">
        <f t="shared" si="19"/>
        <v>190181.25</v>
      </c>
      <c r="AC13" s="60">
        <f t="shared" si="19"/>
        <v>199690.3125</v>
      </c>
      <c r="AD13" s="60">
        <f t="shared" si="19"/>
        <v>209674.8281</v>
      </c>
      <c r="AE13" s="1"/>
      <c r="AF13" s="1"/>
      <c r="AG13" s="1"/>
    </row>
    <row r="14">
      <c r="A14" s="1"/>
      <c r="B14" s="1"/>
      <c r="C14" s="1" t="s">
        <v>42</v>
      </c>
      <c r="D14" s="1"/>
      <c r="E14" s="66">
        <f t="shared" ref="E14:H14" si="20">(E6/D6)-1</f>
        <v>0.25</v>
      </c>
      <c r="F14" s="66">
        <f t="shared" si="20"/>
        <v>0.2</v>
      </c>
      <c r="G14" s="66">
        <f t="shared" si="20"/>
        <v>0</v>
      </c>
      <c r="H14" s="66">
        <f t="shared" si="20"/>
        <v>0</v>
      </c>
      <c r="I14" s="1"/>
      <c r="J14" s="1"/>
      <c r="K14" s="1"/>
      <c r="L14" s="1"/>
      <c r="M14" s="1"/>
      <c r="N14" s="1"/>
      <c r="O14" s="1"/>
      <c r="P14" s="15" t="s">
        <v>43</v>
      </c>
      <c r="Q14" s="40">
        <v>87000.0</v>
      </c>
      <c r="R14" s="64">
        <f t="shared" ref="R14:V14" si="21">Q14*$N$5</f>
        <v>91350</v>
      </c>
      <c r="S14" s="64">
        <f t="shared" si="21"/>
        <v>95917.5</v>
      </c>
      <c r="T14" s="64">
        <f t="shared" si="21"/>
        <v>100713.375</v>
      </c>
      <c r="U14" s="64">
        <f t="shared" si="21"/>
        <v>105749.0438</v>
      </c>
      <c r="V14" s="64">
        <f t="shared" si="21"/>
        <v>111036.4959</v>
      </c>
      <c r="W14" s="6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1"/>
      <c r="C15" s="1" t="s">
        <v>44</v>
      </c>
      <c r="D15" s="1"/>
      <c r="E15" s="67">
        <f t="shared" ref="E15:H15" si="22">((E7*E8)/(D7*D8))-1</f>
        <v>0.3125</v>
      </c>
      <c r="F15" s="67">
        <f t="shared" si="22"/>
        <v>0.26</v>
      </c>
      <c r="G15" s="67">
        <f t="shared" si="22"/>
        <v>0.05</v>
      </c>
      <c r="H15" s="67">
        <f t="shared" si="22"/>
        <v>0.05</v>
      </c>
      <c r="I15" s="1"/>
      <c r="J15" s="1"/>
      <c r="K15" s="1"/>
      <c r="L15" s="1"/>
      <c r="M15" s="1"/>
      <c r="N15" s="1"/>
      <c r="O15" s="1"/>
      <c r="P15" s="29" t="s">
        <v>45</v>
      </c>
      <c r="Q15" s="54"/>
      <c r="R15" s="31">
        <f t="shared" ref="R15:V15" si="23">Q15*$N$5</f>
        <v>0</v>
      </c>
      <c r="S15" s="31">
        <f t="shared" si="23"/>
        <v>0</v>
      </c>
      <c r="T15" s="31">
        <f t="shared" si="23"/>
        <v>0</v>
      </c>
      <c r="U15" s="31">
        <f t="shared" si="23"/>
        <v>0</v>
      </c>
      <c r="V15" s="31">
        <f t="shared" si="23"/>
        <v>0</v>
      </c>
      <c r="W15" s="9"/>
      <c r="X15" s="1"/>
      <c r="Y15" s="68" t="s">
        <v>46</v>
      </c>
      <c r="Z15" s="69">
        <v>0.05</v>
      </c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"/>
      <c r="D16" s="1"/>
      <c r="E16" s="46">
        <f t="shared" ref="E16:H16" si="24">E12/D12-1</f>
        <v>0.05</v>
      </c>
      <c r="F16" s="46">
        <f t="shared" si="24"/>
        <v>0.05</v>
      </c>
      <c r="G16" s="46">
        <f t="shared" si="24"/>
        <v>0.05</v>
      </c>
      <c r="H16" s="46">
        <f t="shared" si="24"/>
        <v>0.05</v>
      </c>
      <c r="I16" s="1"/>
      <c r="J16" s="1"/>
      <c r="K16" s="1"/>
      <c r="L16" s="1"/>
      <c r="M16" s="1"/>
      <c r="N16" s="1"/>
      <c r="O16" s="1"/>
      <c r="P16" s="29" t="s">
        <v>47</v>
      </c>
      <c r="Q16" s="30">
        <v>310000.0</v>
      </c>
      <c r="R16" s="31">
        <v>315000.0</v>
      </c>
      <c r="S16" s="31">
        <v>315000.0</v>
      </c>
      <c r="T16" s="31">
        <v>315000.0</v>
      </c>
      <c r="U16" s="31">
        <v>315000.0</v>
      </c>
      <c r="V16" s="31">
        <v>315000.0</v>
      </c>
      <c r="W16" s="6"/>
      <c r="X16" s="1"/>
      <c r="Y16" s="70" t="s">
        <v>48</v>
      </c>
      <c r="Z16" s="71">
        <f>30+20-5</f>
        <v>45</v>
      </c>
      <c r="AA16" s="1"/>
      <c r="AB16" s="1"/>
      <c r="AC16" s="1"/>
      <c r="AD16" s="1"/>
      <c r="AE16" s="1"/>
      <c r="AF16" s="1"/>
      <c r="AG16" s="1"/>
    </row>
    <row r="17">
      <c r="A17" s="1"/>
      <c r="B17" s="10"/>
      <c r="C17" s="11" t="s">
        <v>49</v>
      </c>
      <c r="D17" s="1"/>
      <c r="E17" s="1"/>
      <c r="F17" s="1"/>
      <c r="G17" s="1"/>
      <c r="H17" s="1"/>
      <c r="I17" s="1"/>
      <c r="J17" s="1"/>
      <c r="K17" s="12"/>
      <c r="L17" s="11" t="s">
        <v>50</v>
      </c>
      <c r="M17" s="1"/>
      <c r="N17" s="1"/>
      <c r="O17" s="1"/>
      <c r="P17" s="15" t="s">
        <v>51</v>
      </c>
      <c r="Q17" s="54"/>
      <c r="R17" s="72">
        <v>-1.0E7</v>
      </c>
      <c r="S17" s="72">
        <v>-1.0E7</v>
      </c>
      <c r="T17" s="72">
        <v>-1.0E7</v>
      </c>
      <c r="U17" s="72">
        <v>-1.0E7</v>
      </c>
      <c r="V17" s="64">
        <v>-1.0E7</v>
      </c>
      <c r="W17" s="73">
        <f>SUM(R17:V17)</f>
        <v>-50000000</v>
      </c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1"/>
      <c r="B18" s="1"/>
      <c r="C18" s="17" t="s">
        <v>5</v>
      </c>
      <c r="D18" s="17" t="s">
        <v>6</v>
      </c>
      <c r="E18" s="17" t="s">
        <v>7</v>
      </c>
      <c r="F18" s="17" t="s">
        <v>8</v>
      </c>
      <c r="G18" s="17" t="s">
        <v>9</v>
      </c>
      <c r="H18" s="17" t="s">
        <v>10</v>
      </c>
      <c r="I18" s="1"/>
      <c r="J18" s="1"/>
      <c r="K18" s="1"/>
      <c r="L18" s="11" t="s">
        <v>11</v>
      </c>
      <c r="M18" s="18">
        <v>0.05</v>
      </c>
      <c r="N18" s="19">
        <v>1.05</v>
      </c>
      <c r="O18" s="1"/>
      <c r="P18" s="15" t="s">
        <v>52</v>
      </c>
      <c r="Q18" s="15"/>
      <c r="R18" s="41">
        <f t="shared" ref="R18:V18" si="25">R17/120</f>
        <v>-83333.33333</v>
      </c>
      <c r="S18" s="41">
        <f t="shared" si="25"/>
        <v>-83333.33333</v>
      </c>
      <c r="T18" s="41">
        <f t="shared" si="25"/>
        <v>-83333.33333</v>
      </c>
      <c r="U18" s="41">
        <f t="shared" si="25"/>
        <v>-83333.33333</v>
      </c>
      <c r="V18" s="64">
        <f t="shared" si="25"/>
        <v>-83333.33333</v>
      </c>
      <c r="W18" s="9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1"/>
      <c r="B19" s="1"/>
      <c r="C19" s="37" t="s">
        <v>15</v>
      </c>
      <c r="D19" s="74">
        <f t="shared" ref="D19:H19" si="26">D6*$M$20</f>
        <v>32000</v>
      </c>
      <c r="E19" s="74">
        <f t="shared" si="26"/>
        <v>40000</v>
      </c>
      <c r="F19" s="74">
        <f t="shared" si="26"/>
        <v>48000</v>
      </c>
      <c r="G19" s="74">
        <f t="shared" si="26"/>
        <v>48000</v>
      </c>
      <c r="H19" s="74">
        <f t="shared" si="26"/>
        <v>48000</v>
      </c>
      <c r="I19" s="1"/>
      <c r="J19" s="1"/>
      <c r="K19" s="1"/>
      <c r="L19" s="27" t="s">
        <v>53</v>
      </c>
      <c r="M19" s="28">
        <v>18.0</v>
      </c>
      <c r="N19" s="1" t="s">
        <v>17</v>
      </c>
      <c r="O19" s="1"/>
      <c r="P19" s="75" t="s">
        <v>54</v>
      </c>
      <c r="Q19" s="76">
        <v>10.0</v>
      </c>
      <c r="R19" s="77">
        <f>R18*S3</f>
        <v>-1000000</v>
      </c>
      <c r="S19" s="77"/>
      <c r="T19" s="77"/>
      <c r="U19" s="77"/>
      <c r="V19" s="77"/>
      <c r="W19" s="78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1"/>
      <c r="C20" s="37" t="s">
        <v>20</v>
      </c>
      <c r="D20" s="38">
        <f t="shared" ref="D20:H20" si="27">D19*12</f>
        <v>384000</v>
      </c>
      <c r="E20" s="38">
        <f t="shared" si="27"/>
        <v>480000</v>
      </c>
      <c r="F20" s="38">
        <f t="shared" si="27"/>
        <v>576000</v>
      </c>
      <c r="G20" s="38">
        <f t="shared" si="27"/>
        <v>576000</v>
      </c>
      <c r="H20" s="38">
        <f t="shared" si="27"/>
        <v>576000</v>
      </c>
      <c r="I20" s="1"/>
      <c r="J20" s="1"/>
      <c r="K20" s="1"/>
      <c r="L20" s="11" t="s">
        <v>55</v>
      </c>
      <c r="M20" s="79">
        <v>0.004</v>
      </c>
      <c r="N20" s="1" t="s">
        <v>56</v>
      </c>
      <c r="O20" s="1"/>
      <c r="P20" s="1"/>
      <c r="Q20" s="58"/>
      <c r="R20" s="80"/>
      <c r="S20" s="58"/>
      <c r="T20" s="58"/>
      <c r="U20" s="58"/>
      <c r="V20" s="58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5.75" customHeight="1">
      <c r="A21" s="1"/>
      <c r="B21" s="1"/>
      <c r="C21" s="81"/>
      <c r="D21" s="81"/>
      <c r="E21" s="81"/>
      <c r="F21" s="81"/>
      <c r="G21" s="81"/>
      <c r="H21" s="81"/>
      <c r="I21" s="1"/>
      <c r="J21" s="1"/>
      <c r="K21" s="1"/>
      <c r="L21" s="51" t="s">
        <v>34</v>
      </c>
      <c r="M21" s="52">
        <v>0.1</v>
      </c>
      <c r="N21" s="53" t="s">
        <v>17</v>
      </c>
      <c r="O21" s="1"/>
      <c r="X21" s="1"/>
      <c r="Y21" s="1"/>
      <c r="Z21" s="9"/>
      <c r="AA21" s="1"/>
      <c r="AB21" s="1"/>
      <c r="AC21" s="1"/>
      <c r="AD21" s="1"/>
      <c r="AE21" s="1"/>
      <c r="AF21" s="1"/>
      <c r="AG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 t="s">
        <v>57</v>
      </c>
      <c r="Q22" s="1"/>
      <c r="R22" s="1"/>
      <c r="S22" s="1"/>
      <c r="T22" s="1"/>
      <c r="U22" s="1"/>
      <c r="V22" s="1"/>
      <c r="X22" s="1"/>
      <c r="Y22" s="1"/>
      <c r="Z22" s="9"/>
      <c r="AA22" s="1"/>
      <c r="AB22" s="1"/>
      <c r="AC22" s="1"/>
      <c r="AD22" s="1"/>
      <c r="AE22" s="1"/>
      <c r="AF22" s="1"/>
      <c r="AG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6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5.75" customHeight="1">
      <c r="A24" s="1"/>
      <c r="B24" s="10"/>
      <c r="C24" s="11" t="s">
        <v>58</v>
      </c>
      <c r="D24" s="1"/>
      <c r="E24" s="1"/>
      <c r="F24" s="1"/>
      <c r="G24" s="1"/>
      <c r="H24" s="1"/>
      <c r="I24" s="1"/>
      <c r="J24" s="1"/>
      <c r="K24" s="12"/>
      <c r="L24" s="11" t="s">
        <v>59</v>
      </c>
      <c r="M24" s="1"/>
      <c r="N24" s="1"/>
      <c r="O24" s="1"/>
      <c r="P24" s="1"/>
      <c r="Q24" s="1"/>
      <c r="R24" s="9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5.75" customHeight="1">
      <c r="A26" s="1"/>
      <c r="B26" s="1"/>
      <c r="C26" s="17" t="s">
        <v>5</v>
      </c>
      <c r="D26" s="17" t="s">
        <v>6</v>
      </c>
      <c r="E26" s="17" t="s">
        <v>7</v>
      </c>
      <c r="F26" s="17" t="s">
        <v>8</v>
      </c>
      <c r="G26" s="17" t="s">
        <v>9</v>
      </c>
      <c r="H26" s="17" t="s">
        <v>10</v>
      </c>
      <c r="I26" s="1"/>
      <c r="J26" s="1"/>
      <c r="K26" s="1"/>
      <c r="L26" s="11" t="s">
        <v>11</v>
      </c>
      <c r="M26" s="18">
        <v>0.05</v>
      </c>
      <c r="N26" s="34">
        <f>$N$5</f>
        <v>1.05</v>
      </c>
      <c r="O26" s="1"/>
      <c r="P26" s="1"/>
      <c r="Q26" s="9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5.75" customHeight="1">
      <c r="A27" s="1"/>
      <c r="B27" s="1"/>
      <c r="C27" s="37" t="s">
        <v>15</v>
      </c>
      <c r="D27" s="82">
        <f>3500*1000</f>
        <v>3500000</v>
      </c>
      <c r="E27" s="82">
        <f>4000*1000</f>
        <v>4000000</v>
      </c>
      <c r="F27" s="82">
        <f>4500*1000</f>
        <v>4500000</v>
      </c>
      <c r="G27" s="82">
        <f>5000*1000</f>
        <v>5000000</v>
      </c>
      <c r="H27" s="82">
        <f>6000*1000</f>
        <v>6000000</v>
      </c>
      <c r="I27" s="1"/>
      <c r="J27" s="1"/>
      <c r="K27" s="1"/>
      <c r="L27" s="27" t="s">
        <v>60</v>
      </c>
      <c r="M27" s="28">
        <f>D12</f>
        <v>2.9</v>
      </c>
      <c r="N27" s="1" t="s">
        <v>17</v>
      </c>
      <c r="O27" s="1"/>
      <c r="AF27" s="1"/>
      <c r="AG27" s="1"/>
    </row>
    <row r="28" ht="15.75" customHeight="1">
      <c r="A28" s="1"/>
      <c r="B28" s="1"/>
      <c r="C28" s="37" t="s">
        <v>20</v>
      </c>
      <c r="D28" s="83">
        <f t="shared" ref="D28:H28" si="28">D27*12</f>
        <v>42000000</v>
      </c>
      <c r="E28" s="83">
        <f t="shared" si="28"/>
        <v>48000000</v>
      </c>
      <c r="F28" s="83">
        <f t="shared" si="28"/>
        <v>54000000</v>
      </c>
      <c r="G28" s="83">
        <f t="shared" si="28"/>
        <v>60000000</v>
      </c>
      <c r="H28" s="83">
        <f t="shared" si="28"/>
        <v>72000000</v>
      </c>
      <c r="I28" s="1"/>
      <c r="J28" s="1"/>
      <c r="K28" s="1"/>
      <c r="L28" s="11" t="s">
        <v>21</v>
      </c>
      <c r="M28" s="84">
        <v>0.0</v>
      </c>
      <c r="N28" s="1" t="s">
        <v>17</v>
      </c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78"/>
      <c r="AG28" s="1"/>
    </row>
    <row r="29" ht="15.75" customHeight="1">
      <c r="A29" s="1"/>
      <c r="B29" s="1"/>
      <c r="C29" s="37" t="s">
        <v>61</v>
      </c>
      <c r="D29" s="87">
        <f t="shared" ref="D29:H29" si="29">D31-$M$30</f>
        <v>2.69</v>
      </c>
      <c r="E29" s="87">
        <f t="shared" si="29"/>
        <v>2.825</v>
      </c>
      <c r="F29" s="87">
        <f t="shared" si="29"/>
        <v>2.96675</v>
      </c>
      <c r="G29" s="87">
        <f t="shared" si="29"/>
        <v>3.1155875</v>
      </c>
      <c r="H29" s="87">
        <f t="shared" si="29"/>
        <v>3.271866875</v>
      </c>
      <c r="I29" s="78"/>
      <c r="J29" s="1"/>
      <c r="K29" s="1"/>
      <c r="L29" s="1" t="s">
        <v>29</v>
      </c>
      <c r="M29" s="44">
        <v>1000.0</v>
      </c>
      <c r="N29" s="1" t="s">
        <v>30</v>
      </c>
      <c r="O29" s="85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F29" s="78"/>
      <c r="AG29" s="1"/>
    </row>
    <row r="30" ht="15.75" customHeight="1">
      <c r="A30" s="1"/>
      <c r="B30" s="1"/>
      <c r="C30" s="88" t="s">
        <v>62</v>
      </c>
      <c r="D30" s="89">
        <v>0.2</v>
      </c>
      <c r="E30" s="89">
        <v>0.2</v>
      </c>
      <c r="F30" s="89">
        <v>0.2</v>
      </c>
      <c r="G30" s="89">
        <v>0.2</v>
      </c>
      <c r="H30" s="89">
        <v>0.2</v>
      </c>
      <c r="I30" s="1"/>
      <c r="J30" s="1"/>
      <c r="K30" s="1"/>
      <c r="L30" s="1" t="s">
        <v>63</v>
      </c>
      <c r="M30" s="44">
        <v>0.01</v>
      </c>
      <c r="N30" s="1" t="s">
        <v>17</v>
      </c>
      <c r="O30" s="85"/>
      <c r="P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F30" s="78"/>
      <c r="AG30" s="1"/>
    </row>
    <row r="31" ht="15.75" customHeight="1">
      <c r="A31" s="1"/>
      <c r="B31" s="1"/>
      <c r="C31" s="61" t="s">
        <v>39</v>
      </c>
      <c r="D31" s="62">
        <f>$M$27-D30</f>
        <v>2.7</v>
      </c>
      <c r="E31" s="62">
        <f t="shared" ref="E31:H31" si="30">D31*$N$26</f>
        <v>2.835</v>
      </c>
      <c r="F31" s="62">
        <f t="shared" si="30"/>
        <v>2.97675</v>
      </c>
      <c r="G31" s="62">
        <f t="shared" si="30"/>
        <v>3.1255875</v>
      </c>
      <c r="H31" s="62">
        <f t="shared" si="30"/>
        <v>3.281866875</v>
      </c>
      <c r="I31" s="1"/>
      <c r="J31" s="1"/>
      <c r="K31" s="1"/>
      <c r="L31" s="51" t="s">
        <v>34</v>
      </c>
      <c r="M31" s="52">
        <v>0.1</v>
      </c>
      <c r="N31" s="53" t="s">
        <v>17</v>
      </c>
      <c r="O31" s="85"/>
      <c r="P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F31" s="78"/>
      <c r="AG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85"/>
      <c r="P32" s="53"/>
      <c r="AF32" s="78"/>
      <c r="AG32" s="1"/>
    </row>
    <row r="33" ht="15.75" customHeight="1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L33" s="1"/>
      <c r="M33" s="1"/>
      <c r="N33" s="1"/>
      <c r="O33" s="85"/>
      <c r="P33" s="53"/>
      <c r="AF33" s="78"/>
      <c r="AG33" s="1"/>
    </row>
    <row r="34" ht="15.75" customHeight="1">
      <c r="A34" s="1"/>
      <c r="B34" s="10"/>
      <c r="C34" s="11" t="s">
        <v>64</v>
      </c>
      <c r="D34" s="1"/>
      <c r="E34" s="1"/>
      <c r="F34" s="1"/>
      <c r="G34" s="1"/>
      <c r="H34" s="1"/>
      <c r="I34" s="1"/>
      <c r="J34" s="1"/>
      <c r="K34" s="12"/>
      <c r="L34" s="11" t="s">
        <v>65</v>
      </c>
      <c r="M34" s="1"/>
      <c r="N34" s="1"/>
      <c r="O34" s="85"/>
      <c r="AF34" s="78"/>
      <c r="AG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85"/>
      <c r="AF35" s="78"/>
      <c r="AG35" s="1"/>
    </row>
    <row r="36" ht="15.75" customHeight="1">
      <c r="A36" s="1"/>
      <c r="B36" s="1"/>
      <c r="C36" s="17" t="s">
        <v>5</v>
      </c>
      <c r="D36" s="17" t="s">
        <v>6</v>
      </c>
      <c r="E36" s="17" t="s">
        <v>7</v>
      </c>
      <c r="F36" s="17" t="s">
        <v>8</v>
      </c>
      <c r="G36" s="17" t="s">
        <v>9</v>
      </c>
      <c r="H36" s="17" t="s">
        <v>10</v>
      </c>
      <c r="I36" s="1"/>
      <c r="J36" s="1"/>
      <c r="K36" s="1"/>
      <c r="L36" s="11" t="s">
        <v>11</v>
      </c>
      <c r="M36" s="18">
        <v>0.05</v>
      </c>
      <c r="N36" s="34">
        <f>$N$5</f>
        <v>1.05</v>
      </c>
      <c r="O36" s="85"/>
      <c r="AF36" s="78"/>
      <c r="AG36" s="1"/>
    </row>
    <row r="37" ht="15.75" customHeight="1">
      <c r="A37" s="1"/>
      <c r="B37" s="1"/>
      <c r="C37" s="37" t="s">
        <v>15</v>
      </c>
      <c r="D37" s="90">
        <f>1000*1000</f>
        <v>1000000</v>
      </c>
      <c r="E37" s="90">
        <f>1200*1000</f>
        <v>1200000</v>
      </c>
      <c r="F37" s="90">
        <f>1500*1000</f>
        <v>1500000</v>
      </c>
      <c r="G37" s="90">
        <f>1700*1000</f>
        <v>1700000</v>
      </c>
      <c r="H37" s="90">
        <f>2000*1000</f>
        <v>2000000</v>
      </c>
      <c r="I37" s="1"/>
      <c r="J37" s="1"/>
      <c r="K37" s="1"/>
      <c r="L37" s="27" t="s">
        <v>60</v>
      </c>
      <c r="M37" s="28">
        <f>4.05</f>
        <v>4.05</v>
      </c>
      <c r="N37" s="1" t="s">
        <v>17</v>
      </c>
      <c r="O37" s="85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F37" s="78"/>
      <c r="AG37" s="1"/>
    </row>
    <row r="38" ht="15.75" customHeight="1">
      <c r="A38" s="1"/>
      <c r="B38" s="1"/>
      <c r="C38" s="37" t="s">
        <v>20</v>
      </c>
      <c r="D38" s="83">
        <f t="shared" ref="D38:H38" si="31">D37*12</f>
        <v>12000000</v>
      </c>
      <c r="E38" s="83">
        <f t="shared" si="31"/>
        <v>14400000</v>
      </c>
      <c r="F38" s="83">
        <f t="shared" si="31"/>
        <v>18000000</v>
      </c>
      <c r="G38" s="83">
        <f t="shared" si="31"/>
        <v>20400000</v>
      </c>
      <c r="H38" s="83">
        <f t="shared" si="31"/>
        <v>24000000</v>
      </c>
      <c r="I38" s="1"/>
      <c r="J38" s="1"/>
      <c r="K38" s="1"/>
      <c r="L38" s="11" t="s">
        <v>21</v>
      </c>
      <c r="M38" s="84">
        <v>0.0</v>
      </c>
      <c r="N38" s="1" t="s">
        <v>17</v>
      </c>
      <c r="O38" s="1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1"/>
      <c r="AG38" s="1"/>
    </row>
    <row r="39" ht="15.75" customHeight="1">
      <c r="A39" s="1"/>
      <c r="B39" s="1"/>
      <c r="C39" s="88" t="s">
        <v>66</v>
      </c>
      <c r="D39" s="87">
        <f t="shared" ref="D39:H39" si="32">D40-$M$40</f>
        <v>4.04</v>
      </c>
      <c r="E39" s="87">
        <f t="shared" si="32"/>
        <v>4.2425</v>
      </c>
      <c r="F39" s="87">
        <f t="shared" si="32"/>
        <v>4.455125</v>
      </c>
      <c r="G39" s="87">
        <f t="shared" si="32"/>
        <v>4.67838125</v>
      </c>
      <c r="H39" s="87">
        <f t="shared" si="32"/>
        <v>4.912800313</v>
      </c>
      <c r="I39" s="78"/>
      <c r="J39" s="1"/>
      <c r="K39" s="1"/>
      <c r="L39" s="1" t="s">
        <v>29</v>
      </c>
      <c r="M39" s="44">
        <v>1000.0</v>
      </c>
      <c r="N39" s="1" t="s">
        <v>30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5.75" customHeight="1">
      <c r="A40" s="1"/>
      <c r="B40" s="1"/>
      <c r="C40" s="61" t="s">
        <v>39</v>
      </c>
      <c r="D40" s="91">
        <f>$M$37</f>
        <v>4.05</v>
      </c>
      <c r="E40" s="91">
        <f t="shared" ref="E40:H40" si="33">D40*$N$36</f>
        <v>4.2525</v>
      </c>
      <c r="F40" s="91">
        <f t="shared" si="33"/>
        <v>4.465125</v>
      </c>
      <c r="G40" s="91">
        <f t="shared" si="33"/>
        <v>4.68838125</v>
      </c>
      <c r="H40" s="91">
        <f t="shared" si="33"/>
        <v>4.922800313</v>
      </c>
      <c r="I40" s="78"/>
      <c r="J40" s="1"/>
      <c r="K40" s="1"/>
      <c r="L40" s="1" t="s">
        <v>63</v>
      </c>
      <c r="M40" s="44">
        <v>0.01</v>
      </c>
      <c r="N40" s="1" t="s">
        <v>17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51" t="s">
        <v>34</v>
      </c>
      <c r="M41" s="92">
        <v>0.0</v>
      </c>
      <c r="N41" s="53" t="s">
        <v>17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5.75" customHeight="1">
      <c r="A43" s="1"/>
      <c r="B43" s="10"/>
      <c r="C43" s="11" t="s">
        <v>67</v>
      </c>
      <c r="D43" s="1"/>
      <c r="E43" s="1"/>
      <c r="F43" s="1"/>
      <c r="G43" s="1"/>
      <c r="H43" s="1"/>
      <c r="I43" s="1"/>
      <c r="J43" s="1"/>
      <c r="K43" s="12"/>
      <c r="L43" s="11" t="s">
        <v>68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5.75" customHeight="1">
      <c r="A45" s="1"/>
      <c r="B45" s="1"/>
      <c r="C45" s="17" t="s">
        <v>5</v>
      </c>
      <c r="D45" s="17" t="s">
        <v>6</v>
      </c>
      <c r="E45" s="17" t="s">
        <v>7</v>
      </c>
      <c r="F45" s="17" t="s">
        <v>8</v>
      </c>
      <c r="G45" s="17" t="s">
        <v>9</v>
      </c>
      <c r="H45" s="17" t="s">
        <v>10</v>
      </c>
      <c r="I45" s="1"/>
      <c r="J45" s="1"/>
      <c r="K45" s="1"/>
      <c r="L45" s="11" t="s">
        <v>11</v>
      </c>
      <c r="M45" s="18">
        <v>0.05</v>
      </c>
      <c r="N45" s="34">
        <f>$N$5</f>
        <v>1.05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5.75" customHeight="1">
      <c r="A46" s="1"/>
      <c r="B46" s="1"/>
      <c r="C46" s="37" t="s">
        <v>15</v>
      </c>
      <c r="D46" s="93"/>
      <c r="E46" s="93"/>
      <c r="F46" s="93"/>
      <c r="G46" s="93"/>
      <c r="H46" s="93"/>
      <c r="I46" s="1"/>
      <c r="J46" s="1"/>
      <c r="K46" s="1"/>
      <c r="L46" s="27" t="s">
        <v>60</v>
      </c>
      <c r="M46" s="28">
        <v>3.5</v>
      </c>
      <c r="N46" s="1" t="s">
        <v>17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5.75" customHeight="1">
      <c r="A47" s="1"/>
      <c r="B47" s="1"/>
      <c r="C47" s="37" t="s">
        <v>20</v>
      </c>
      <c r="D47" s="83">
        <f t="shared" ref="D47:H47" si="34">D46*12</f>
        <v>0</v>
      </c>
      <c r="E47" s="83">
        <f t="shared" si="34"/>
        <v>0</v>
      </c>
      <c r="F47" s="83">
        <f t="shared" si="34"/>
        <v>0</v>
      </c>
      <c r="G47" s="83">
        <f t="shared" si="34"/>
        <v>0</v>
      </c>
      <c r="H47" s="83">
        <f t="shared" si="34"/>
        <v>0</v>
      </c>
      <c r="I47" s="1"/>
      <c r="J47" s="1"/>
      <c r="K47" s="1"/>
      <c r="L47" s="11" t="s">
        <v>21</v>
      </c>
      <c r="M47" s="84">
        <v>0.0</v>
      </c>
      <c r="N47" s="1" t="s">
        <v>17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5.75" customHeight="1">
      <c r="A48" s="1"/>
      <c r="B48" s="1"/>
      <c r="C48" s="88" t="s">
        <v>66</v>
      </c>
      <c r="D48" s="87">
        <f t="shared" ref="D48:H48" si="35">D49-$M$49</f>
        <v>3.49</v>
      </c>
      <c r="E48" s="87">
        <f t="shared" si="35"/>
        <v>3.665</v>
      </c>
      <c r="F48" s="87">
        <f t="shared" si="35"/>
        <v>3.84875</v>
      </c>
      <c r="G48" s="87">
        <f t="shared" si="35"/>
        <v>4.0416875</v>
      </c>
      <c r="H48" s="87">
        <f t="shared" si="35"/>
        <v>4.244271875</v>
      </c>
      <c r="I48" s="78"/>
      <c r="J48" s="1"/>
      <c r="K48" s="1"/>
      <c r="L48" s="1" t="s">
        <v>29</v>
      </c>
      <c r="M48" s="44">
        <v>1000.0</v>
      </c>
      <c r="N48" s="1" t="s">
        <v>30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5.75" customHeight="1">
      <c r="A49" s="1"/>
      <c r="B49" s="1"/>
      <c r="C49" s="61" t="s">
        <v>39</v>
      </c>
      <c r="D49" s="91">
        <f>$M$46</f>
        <v>3.5</v>
      </c>
      <c r="E49" s="91">
        <f t="shared" ref="E49:H49" si="36">D49*$N$45</f>
        <v>3.675</v>
      </c>
      <c r="F49" s="91">
        <f t="shared" si="36"/>
        <v>3.85875</v>
      </c>
      <c r="G49" s="91">
        <f t="shared" si="36"/>
        <v>4.0516875</v>
      </c>
      <c r="H49" s="91">
        <f t="shared" si="36"/>
        <v>4.254271875</v>
      </c>
      <c r="I49" s="1"/>
      <c r="J49" s="1"/>
      <c r="K49" s="1"/>
      <c r="L49" s="1" t="s">
        <v>63</v>
      </c>
      <c r="M49" s="44">
        <v>0.01</v>
      </c>
      <c r="N49" s="1" t="s">
        <v>17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51" t="s">
        <v>34</v>
      </c>
      <c r="M50" s="92">
        <v>0.0</v>
      </c>
      <c r="N50" s="53" t="s">
        <v>17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5.75" customHeight="1">
      <c r="A53" s="1"/>
      <c r="B53" s="10"/>
      <c r="C53" s="11" t="s">
        <v>69</v>
      </c>
      <c r="D53" s="1"/>
      <c r="E53" s="1"/>
      <c r="F53" s="1"/>
      <c r="G53" s="1"/>
      <c r="H53" s="1"/>
      <c r="I53" s="1"/>
      <c r="J53" s="1"/>
      <c r="K53" s="12"/>
      <c r="L53" s="11" t="s">
        <v>70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5.75" customHeight="1">
      <c r="A55" s="1"/>
      <c r="B55" s="1"/>
      <c r="C55" s="17" t="s">
        <v>5</v>
      </c>
      <c r="D55" s="17" t="s">
        <v>6</v>
      </c>
      <c r="E55" s="17" t="s">
        <v>7</v>
      </c>
      <c r="F55" s="17" t="s">
        <v>8</v>
      </c>
      <c r="G55" s="17" t="s">
        <v>9</v>
      </c>
      <c r="H55" s="17" t="s">
        <v>10</v>
      </c>
      <c r="I55" s="1"/>
      <c r="J55" s="1"/>
      <c r="K55" s="1"/>
      <c r="L55" s="11" t="s">
        <v>11</v>
      </c>
      <c r="M55" s="18">
        <v>0.05</v>
      </c>
      <c r="N55" s="34">
        <f>$N$5</f>
        <v>1.05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5.75" customHeight="1">
      <c r="A56" s="1"/>
      <c r="B56" s="1"/>
      <c r="C56" s="37" t="s">
        <v>15</v>
      </c>
      <c r="D56" s="90">
        <f t="shared" ref="D56:H56" si="37">4000*1000</f>
        <v>4000000</v>
      </c>
      <c r="E56" s="90">
        <f t="shared" si="37"/>
        <v>4000000</v>
      </c>
      <c r="F56" s="90">
        <f t="shared" si="37"/>
        <v>4000000</v>
      </c>
      <c r="G56" s="90">
        <f t="shared" si="37"/>
        <v>4000000</v>
      </c>
      <c r="H56" s="90">
        <f t="shared" si="37"/>
        <v>4000000</v>
      </c>
      <c r="I56" s="1"/>
      <c r="J56" s="1"/>
      <c r="K56" s="1"/>
      <c r="L56" s="27" t="s">
        <v>60</v>
      </c>
      <c r="M56" s="28">
        <f>4.05-0.2</f>
        <v>3.85</v>
      </c>
      <c r="N56" s="1" t="s">
        <v>17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5.75" customHeight="1">
      <c r="A57" s="1"/>
      <c r="B57" s="1"/>
      <c r="C57" s="37" t="s">
        <v>20</v>
      </c>
      <c r="D57" s="83">
        <f t="shared" ref="D57:H57" si="38">D56*12</f>
        <v>48000000</v>
      </c>
      <c r="E57" s="83">
        <f t="shared" si="38"/>
        <v>48000000</v>
      </c>
      <c r="F57" s="83">
        <f t="shared" si="38"/>
        <v>48000000</v>
      </c>
      <c r="G57" s="83">
        <f t="shared" si="38"/>
        <v>48000000</v>
      </c>
      <c r="H57" s="83">
        <f t="shared" si="38"/>
        <v>48000000</v>
      </c>
      <c r="I57" s="1"/>
      <c r="J57" s="1"/>
      <c r="K57" s="1"/>
      <c r="L57" s="11" t="s">
        <v>21</v>
      </c>
      <c r="M57" s="84">
        <v>0.0</v>
      </c>
      <c r="N57" s="1" t="s">
        <v>17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5.75" customHeight="1">
      <c r="A58" s="1"/>
      <c r="B58" s="1"/>
      <c r="C58" s="88" t="s">
        <v>66</v>
      </c>
      <c r="D58" s="87">
        <f t="shared" ref="D58:H58" si="39">D59-$M$59</f>
        <v>3.8</v>
      </c>
      <c r="E58" s="87">
        <f t="shared" si="39"/>
        <v>3.9925</v>
      </c>
      <c r="F58" s="87">
        <f t="shared" si="39"/>
        <v>4.194625</v>
      </c>
      <c r="G58" s="87">
        <f t="shared" si="39"/>
        <v>4.40685625</v>
      </c>
      <c r="H58" s="87">
        <f t="shared" si="39"/>
        <v>4.629699063</v>
      </c>
      <c r="I58" s="78"/>
      <c r="J58" s="1"/>
      <c r="K58" s="1"/>
      <c r="L58" s="1" t="s">
        <v>29</v>
      </c>
      <c r="M58" s="44">
        <v>1000.0</v>
      </c>
      <c r="N58" s="1" t="s">
        <v>30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5.75" customHeight="1">
      <c r="A59" s="1"/>
      <c r="B59" s="1"/>
      <c r="C59" s="61" t="s">
        <v>39</v>
      </c>
      <c r="D59" s="91">
        <f>$M$56</f>
        <v>3.85</v>
      </c>
      <c r="E59" s="91">
        <f t="shared" ref="E59:H59" si="40">D59*$N$55</f>
        <v>4.0425</v>
      </c>
      <c r="F59" s="91">
        <f t="shared" si="40"/>
        <v>4.244625</v>
      </c>
      <c r="G59" s="91">
        <f t="shared" si="40"/>
        <v>4.45685625</v>
      </c>
      <c r="H59" s="91">
        <f t="shared" si="40"/>
        <v>4.679699063</v>
      </c>
      <c r="I59" s="1"/>
      <c r="J59" s="1"/>
      <c r="K59" s="1"/>
      <c r="L59" s="1" t="s">
        <v>63</v>
      </c>
      <c r="M59" s="44">
        <v>0.05</v>
      </c>
      <c r="N59" s="1" t="s">
        <v>17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5.75" customHeight="1">
      <c r="A60" s="1"/>
      <c r="B60" s="1"/>
      <c r="C60" s="1"/>
      <c r="D60" s="1"/>
      <c r="E60" s="46"/>
      <c r="F60" s="1"/>
      <c r="G60" s="1"/>
      <c r="H60" s="1"/>
      <c r="I60" s="1"/>
      <c r="J60" s="1"/>
      <c r="K60" s="1"/>
      <c r="L60" s="94" t="s">
        <v>34</v>
      </c>
      <c r="M60" s="95">
        <v>0.1</v>
      </c>
      <c r="N60" s="96" t="s">
        <v>17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5.75" customHeight="1">
      <c r="A62" s="1"/>
      <c r="B62" s="10"/>
      <c r="C62" s="11" t="s">
        <v>71</v>
      </c>
      <c r="D62" s="97">
        <v>6.0E7</v>
      </c>
      <c r="E62" s="1"/>
      <c r="F62" s="1"/>
      <c r="G62" s="1"/>
      <c r="H62" s="1"/>
      <c r="I62" s="1"/>
      <c r="J62" s="1"/>
      <c r="K62" s="12"/>
      <c r="L62" s="11" t="str">
        <f>C62</f>
        <v>F) PET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5.75" customHeight="1">
      <c r="A63" s="1"/>
      <c r="B63" s="1"/>
      <c r="C63" s="1"/>
      <c r="D63" s="4">
        <v>0.16</v>
      </c>
      <c r="E63" s="98">
        <v>0.32</v>
      </c>
      <c r="F63" s="4">
        <v>0.56</v>
      </c>
      <c r="G63" s="98">
        <v>0.8</v>
      </c>
      <c r="H63" s="4">
        <v>1.0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5.75" customHeight="1">
      <c r="A64" s="1"/>
      <c r="B64" s="1"/>
      <c r="C64" s="17" t="s">
        <v>5</v>
      </c>
      <c r="D64" s="17" t="s">
        <v>6</v>
      </c>
      <c r="E64" s="17" t="s">
        <v>7</v>
      </c>
      <c r="F64" s="17" t="s">
        <v>8</v>
      </c>
      <c r="G64" s="17" t="s">
        <v>9</v>
      </c>
      <c r="H64" s="17" t="s">
        <v>10</v>
      </c>
      <c r="I64" s="1"/>
      <c r="J64" s="1"/>
      <c r="K64" s="1"/>
      <c r="L64" s="11" t="s">
        <v>11</v>
      </c>
      <c r="M64" s="18">
        <v>0.05</v>
      </c>
      <c r="N64" s="34">
        <f>$N$5</f>
        <v>1.05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5.75" customHeight="1">
      <c r="A65" s="1"/>
      <c r="B65" s="1"/>
      <c r="C65" s="37" t="s">
        <v>15</v>
      </c>
      <c r="D65" s="90">
        <f t="shared" ref="D65:H65" si="41">D66/12</f>
        <v>800000</v>
      </c>
      <c r="E65" s="90">
        <f t="shared" si="41"/>
        <v>1600000</v>
      </c>
      <c r="F65" s="90">
        <f t="shared" si="41"/>
        <v>2800000</v>
      </c>
      <c r="G65" s="90">
        <f t="shared" si="41"/>
        <v>4000000</v>
      </c>
      <c r="H65" s="90">
        <f t="shared" si="41"/>
        <v>5000000</v>
      </c>
      <c r="I65" s="1"/>
      <c r="J65" s="1"/>
      <c r="K65" s="1"/>
      <c r="L65" s="27" t="s">
        <v>60</v>
      </c>
      <c r="M65" s="28">
        <v>12.5</v>
      </c>
      <c r="N65" s="1" t="s">
        <v>17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5.75" customHeight="1">
      <c r="A66" s="1"/>
      <c r="B66" s="1"/>
      <c r="C66" s="37" t="s">
        <v>20</v>
      </c>
      <c r="D66" s="38">
        <f t="shared" ref="D66:H66" si="42">$D$62*D63</f>
        <v>9600000</v>
      </c>
      <c r="E66" s="38">
        <f t="shared" si="42"/>
        <v>19200000</v>
      </c>
      <c r="F66" s="38">
        <f t="shared" si="42"/>
        <v>33600000</v>
      </c>
      <c r="G66" s="38">
        <f t="shared" si="42"/>
        <v>48000000</v>
      </c>
      <c r="H66" s="38">
        <f t="shared" si="42"/>
        <v>60000000</v>
      </c>
      <c r="I66" s="1"/>
      <c r="J66" s="1"/>
      <c r="K66" s="1"/>
      <c r="L66" s="11" t="s">
        <v>21</v>
      </c>
      <c r="M66" s="84">
        <v>0.0</v>
      </c>
      <c r="N66" s="1" t="s">
        <v>17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5.75" customHeight="1">
      <c r="A67" s="1"/>
      <c r="B67" s="1"/>
      <c r="C67" s="88" t="s">
        <v>66</v>
      </c>
      <c r="D67" s="57">
        <f t="shared" ref="D67:H67" si="43">$M$65-$M$68</f>
        <v>12.4</v>
      </c>
      <c r="E67" s="57">
        <f t="shared" si="43"/>
        <v>12.4</v>
      </c>
      <c r="F67" s="57">
        <f t="shared" si="43"/>
        <v>12.4</v>
      </c>
      <c r="G67" s="57">
        <f t="shared" si="43"/>
        <v>12.4</v>
      </c>
      <c r="H67" s="57">
        <f t="shared" si="43"/>
        <v>12.4</v>
      </c>
      <c r="I67" s="78"/>
      <c r="J67" s="1"/>
      <c r="K67" s="1"/>
      <c r="L67" s="1" t="s">
        <v>29</v>
      </c>
      <c r="M67" s="44">
        <v>1000.0</v>
      </c>
      <c r="N67" s="1" t="s">
        <v>30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5.75" customHeight="1">
      <c r="A68" s="1"/>
      <c r="B68" s="1"/>
      <c r="C68" s="61" t="s">
        <v>72</v>
      </c>
      <c r="D68" s="62">
        <f t="shared" ref="D68:H68" si="44">$D$67+$M$68</f>
        <v>12.5</v>
      </c>
      <c r="E68" s="62">
        <f t="shared" si="44"/>
        <v>12.5</v>
      </c>
      <c r="F68" s="62">
        <f t="shared" si="44"/>
        <v>12.5</v>
      </c>
      <c r="G68" s="62">
        <f t="shared" si="44"/>
        <v>12.5</v>
      </c>
      <c r="H68" s="62">
        <f t="shared" si="44"/>
        <v>12.5</v>
      </c>
      <c r="I68" s="78"/>
      <c r="J68" s="1"/>
      <c r="K68" s="1"/>
      <c r="L68" s="1" t="s">
        <v>63</v>
      </c>
      <c r="M68" s="44">
        <v>0.1</v>
      </c>
      <c r="N68" s="1" t="s">
        <v>17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94" t="s">
        <v>34</v>
      </c>
      <c r="M69" s="95">
        <v>0.5</v>
      </c>
      <c r="N69" s="96" t="s">
        <v>17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5.75" customHeight="1">
      <c r="A72" s="1"/>
      <c r="B72" s="10"/>
      <c r="C72" s="11" t="s">
        <v>73</v>
      </c>
      <c r="D72" s="99">
        <v>1.3E7</v>
      </c>
      <c r="E72" s="1"/>
      <c r="F72" s="1"/>
      <c r="G72" s="1"/>
      <c r="H72" s="1"/>
      <c r="I72" s="1"/>
      <c r="J72" s="1"/>
      <c r="K72" s="12"/>
      <c r="L72" s="11" t="str">
        <f>C72</f>
        <v>G) CAN 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5.75" customHeight="1">
      <c r="A73" s="1"/>
      <c r="B73" s="1"/>
      <c r="C73" s="1"/>
      <c r="D73" s="4">
        <v>1.0</v>
      </c>
      <c r="E73" s="4">
        <v>1.0</v>
      </c>
      <c r="F73" s="4">
        <v>1.0</v>
      </c>
      <c r="G73" s="4">
        <v>1.0</v>
      </c>
      <c r="H73" s="4">
        <v>1.0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5.75" customHeight="1">
      <c r="A74" s="1"/>
      <c r="B74" s="1"/>
      <c r="C74" s="17" t="s">
        <v>5</v>
      </c>
      <c r="D74" s="17" t="s">
        <v>6</v>
      </c>
      <c r="E74" s="17" t="s">
        <v>7</v>
      </c>
      <c r="F74" s="17" t="s">
        <v>8</v>
      </c>
      <c r="G74" s="17" t="s">
        <v>9</v>
      </c>
      <c r="H74" s="17" t="s">
        <v>10</v>
      </c>
      <c r="I74" s="1"/>
      <c r="J74" s="1"/>
      <c r="K74" s="1"/>
      <c r="L74" s="11" t="s">
        <v>11</v>
      </c>
      <c r="M74" s="18">
        <v>0.05</v>
      </c>
      <c r="N74" s="34">
        <f>$N$5</f>
        <v>1.05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5.75" customHeight="1">
      <c r="A75" s="1"/>
      <c r="B75" s="1"/>
      <c r="C75" s="37" t="s">
        <v>15</v>
      </c>
      <c r="D75" s="38">
        <f t="shared" ref="D75:H75" si="45">$D$72/12</f>
        <v>1083333.333</v>
      </c>
      <c r="E75" s="38">
        <f t="shared" si="45"/>
        <v>1083333.333</v>
      </c>
      <c r="F75" s="38">
        <f t="shared" si="45"/>
        <v>1083333.333</v>
      </c>
      <c r="G75" s="38">
        <f t="shared" si="45"/>
        <v>1083333.333</v>
      </c>
      <c r="H75" s="38">
        <f t="shared" si="45"/>
        <v>1083333.333</v>
      </c>
      <c r="I75" s="78"/>
      <c r="J75" s="1"/>
      <c r="K75" s="1"/>
      <c r="L75" s="27" t="s">
        <v>60</v>
      </c>
      <c r="M75" s="28">
        <v>66.0</v>
      </c>
      <c r="N75" s="1" t="s">
        <v>17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5.75" customHeight="1">
      <c r="A76" s="1"/>
      <c r="B76" s="1"/>
      <c r="C76" s="37" t="s">
        <v>20</v>
      </c>
      <c r="D76" s="82">
        <f t="shared" ref="D76:H76" si="46">$D$72</f>
        <v>13000000</v>
      </c>
      <c r="E76" s="82">
        <f t="shared" si="46"/>
        <v>13000000</v>
      </c>
      <c r="F76" s="82">
        <f t="shared" si="46"/>
        <v>13000000</v>
      </c>
      <c r="G76" s="82">
        <f t="shared" si="46"/>
        <v>13000000</v>
      </c>
      <c r="H76" s="82">
        <f t="shared" si="46"/>
        <v>13000000</v>
      </c>
      <c r="I76" s="78"/>
      <c r="J76" s="1"/>
      <c r="K76" s="1"/>
      <c r="L76" s="11" t="s">
        <v>21</v>
      </c>
      <c r="M76" s="84">
        <v>0.0</v>
      </c>
      <c r="N76" s="1" t="s">
        <v>17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5.75" customHeight="1">
      <c r="A77" s="1"/>
      <c r="B77" s="1"/>
      <c r="C77" s="88" t="s">
        <v>66</v>
      </c>
      <c r="D77" s="57">
        <f t="shared" ref="D77:H77" si="47">$M$75-$M$78</f>
        <v>65.5</v>
      </c>
      <c r="E77" s="57">
        <f t="shared" si="47"/>
        <v>65.5</v>
      </c>
      <c r="F77" s="57">
        <f t="shared" si="47"/>
        <v>65.5</v>
      </c>
      <c r="G77" s="57">
        <f t="shared" si="47"/>
        <v>65.5</v>
      </c>
      <c r="H77" s="57">
        <f t="shared" si="47"/>
        <v>65.5</v>
      </c>
      <c r="I77" s="78"/>
      <c r="J77" s="1"/>
      <c r="K77" s="1"/>
      <c r="L77" s="1" t="s">
        <v>29</v>
      </c>
      <c r="M77" s="44">
        <v>1000.0</v>
      </c>
      <c r="N77" s="1" t="s">
        <v>30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5.75" customHeight="1">
      <c r="A78" s="1"/>
      <c r="B78" s="1"/>
      <c r="C78" s="61" t="s">
        <v>72</v>
      </c>
      <c r="D78" s="62">
        <f t="shared" ref="D78:H78" si="48">$D$77+$M$78</f>
        <v>66</v>
      </c>
      <c r="E78" s="62">
        <f t="shared" si="48"/>
        <v>66</v>
      </c>
      <c r="F78" s="62">
        <f t="shared" si="48"/>
        <v>66</v>
      </c>
      <c r="G78" s="62">
        <f t="shared" si="48"/>
        <v>66</v>
      </c>
      <c r="H78" s="62">
        <f t="shared" si="48"/>
        <v>66</v>
      </c>
      <c r="I78" s="78"/>
      <c r="J78" s="1"/>
      <c r="K78" s="1"/>
      <c r="L78" s="1" t="s">
        <v>63</v>
      </c>
      <c r="M78" s="44">
        <v>0.5</v>
      </c>
      <c r="N78" s="1" t="s">
        <v>17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94" t="s">
        <v>34</v>
      </c>
      <c r="M79" s="100">
        <v>2.0</v>
      </c>
      <c r="N79" s="96" t="s">
        <v>17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I2:J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01">
        <v>0.7916666666666666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02"/>
      <c r="B2" s="103" t="s">
        <v>74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</row>
    <row r="3">
      <c r="A3" s="102"/>
      <c r="B3" s="104" t="s">
        <v>75</v>
      </c>
      <c r="C3" s="105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</row>
    <row r="4">
      <c r="A4" s="102"/>
      <c r="B4" s="102"/>
      <c r="C4" s="102"/>
      <c r="D4" s="102"/>
      <c r="E4" s="106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</row>
    <row r="5">
      <c r="A5" s="102"/>
      <c r="B5" s="107" t="s">
        <v>76</v>
      </c>
      <c r="C5" s="102"/>
      <c r="D5" s="102"/>
      <c r="E5" s="102"/>
      <c r="F5" s="102"/>
      <c r="G5" s="102"/>
      <c r="H5" s="102"/>
      <c r="I5" s="107" t="s">
        <v>77</v>
      </c>
      <c r="J5" s="102"/>
      <c r="K5" s="102"/>
      <c r="L5" s="102"/>
      <c r="M5" s="102"/>
      <c r="N5" s="102"/>
      <c r="O5" s="102"/>
      <c r="P5" s="107" t="s">
        <v>78</v>
      </c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>
      <c r="A6" s="102"/>
      <c r="B6" s="102"/>
      <c r="C6" s="108"/>
      <c r="D6" s="102"/>
      <c r="E6" s="108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</row>
    <row r="7">
      <c r="A7" s="102"/>
      <c r="B7" s="109" t="s">
        <v>79</v>
      </c>
      <c r="C7" s="102"/>
      <c r="D7" s="102"/>
      <c r="E7" s="110" t="s">
        <v>80</v>
      </c>
      <c r="F7" s="102"/>
      <c r="G7" s="102"/>
      <c r="H7" s="102"/>
      <c r="I7" s="109" t="s">
        <v>79</v>
      </c>
      <c r="J7" s="102"/>
      <c r="K7" s="102"/>
      <c r="L7" s="110" t="s">
        <v>80</v>
      </c>
      <c r="M7" s="102"/>
      <c r="N7" s="102"/>
      <c r="O7" s="102"/>
      <c r="P7" s="109" t="s">
        <v>79</v>
      </c>
      <c r="Q7" s="102"/>
      <c r="R7" s="102"/>
      <c r="S7" s="110" t="s">
        <v>80</v>
      </c>
      <c r="T7" s="102"/>
      <c r="U7" s="102"/>
      <c r="V7" s="102"/>
      <c r="W7" s="102"/>
      <c r="X7" s="102"/>
      <c r="Y7" s="102"/>
      <c r="Z7" s="102"/>
    </row>
    <row r="8">
      <c r="A8" s="102"/>
      <c r="B8" s="17" t="s">
        <v>5</v>
      </c>
      <c r="C8" s="111" t="s">
        <v>6</v>
      </c>
      <c r="D8" s="22" t="s">
        <v>7</v>
      </c>
      <c r="E8" s="22" t="s">
        <v>8</v>
      </c>
      <c r="F8" s="22" t="s">
        <v>9</v>
      </c>
      <c r="G8" s="23" t="s">
        <v>10</v>
      </c>
      <c r="H8" s="102"/>
      <c r="I8" s="17" t="s">
        <v>5</v>
      </c>
      <c r="J8" s="111" t="s">
        <v>6</v>
      </c>
      <c r="K8" s="22" t="s">
        <v>7</v>
      </c>
      <c r="L8" s="22" t="s">
        <v>8</v>
      </c>
      <c r="M8" s="22" t="s">
        <v>9</v>
      </c>
      <c r="N8" s="23" t="s">
        <v>10</v>
      </c>
      <c r="O8" s="102"/>
      <c r="P8" s="17" t="s">
        <v>5</v>
      </c>
      <c r="Q8" s="111" t="s">
        <v>6</v>
      </c>
      <c r="R8" s="22" t="s">
        <v>7</v>
      </c>
      <c r="S8" s="22" t="s">
        <v>8</v>
      </c>
      <c r="T8" s="22" t="s">
        <v>9</v>
      </c>
      <c r="U8" s="23" t="s">
        <v>10</v>
      </c>
      <c r="V8" s="102"/>
      <c r="W8" s="102"/>
      <c r="X8" s="102"/>
      <c r="Y8" s="102"/>
      <c r="Z8" s="102"/>
    </row>
    <row r="9">
      <c r="A9" s="102"/>
      <c r="B9" s="112" t="s">
        <v>15</v>
      </c>
      <c r="C9" s="113">
        <v>9000000.0</v>
      </c>
      <c r="D9" s="113">
        <v>1.0E7</v>
      </c>
      <c r="E9" s="114">
        <v>1.3E7</v>
      </c>
      <c r="F9" s="114">
        <v>1.4E7</v>
      </c>
      <c r="G9" s="115">
        <v>1.5E7</v>
      </c>
      <c r="H9" s="102"/>
      <c r="I9" s="112" t="s">
        <v>15</v>
      </c>
      <c r="J9" s="113">
        <v>9000000.0</v>
      </c>
      <c r="K9" s="113">
        <v>9000000.0</v>
      </c>
      <c r="L9" s="114">
        <v>1.2E7</v>
      </c>
      <c r="M9" s="114">
        <v>1.4E7</v>
      </c>
      <c r="N9" s="115">
        <v>1.5E7</v>
      </c>
      <c r="O9" s="102"/>
      <c r="P9" s="112" t="s">
        <v>15</v>
      </c>
      <c r="Q9" s="113">
        <v>8000000.0</v>
      </c>
      <c r="R9" s="113">
        <v>9000000.0</v>
      </c>
      <c r="S9" s="114">
        <v>1.0E7</v>
      </c>
      <c r="T9" s="114">
        <v>1.1E7</v>
      </c>
      <c r="U9" s="115">
        <v>1.2E7</v>
      </c>
      <c r="V9" s="102"/>
      <c r="W9" s="102"/>
      <c r="X9" s="102"/>
      <c r="Y9" s="102"/>
      <c r="Z9" s="102"/>
    </row>
    <row r="10">
      <c r="A10" s="102"/>
      <c r="B10" s="56" t="s">
        <v>20</v>
      </c>
      <c r="C10" s="116">
        <f t="shared" ref="C10:G10" si="1">C9*12</f>
        <v>108000000</v>
      </c>
      <c r="D10" s="116">
        <f t="shared" si="1"/>
        <v>120000000</v>
      </c>
      <c r="E10" s="116">
        <f t="shared" si="1"/>
        <v>156000000</v>
      </c>
      <c r="F10" s="116">
        <f t="shared" si="1"/>
        <v>168000000</v>
      </c>
      <c r="G10" s="117">
        <f t="shared" si="1"/>
        <v>180000000</v>
      </c>
      <c r="H10" s="102"/>
      <c r="I10" s="56" t="s">
        <v>20</v>
      </c>
      <c r="J10" s="118">
        <f t="shared" ref="J10:N10" si="2">J9*12</f>
        <v>108000000</v>
      </c>
      <c r="K10" s="118">
        <f t="shared" si="2"/>
        <v>108000000</v>
      </c>
      <c r="L10" s="118">
        <f t="shared" si="2"/>
        <v>144000000</v>
      </c>
      <c r="M10" s="118">
        <f t="shared" si="2"/>
        <v>168000000</v>
      </c>
      <c r="N10" s="119">
        <f t="shared" si="2"/>
        <v>180000000</v>
      </c>
      <c r="O10" s="102"/>
      <c r="P10" s="56" t="s">
        <v>20</v>
      </c>
      <c r="Q10" s="118">
        <f t="shared" ref="Q10:U10" si="3">Q9*12</f>
        <v>96000000</v>
      </c>
      <c r="R10" s="118">
        <f t="shared" si="3"/>
        <v>108000000</v>
      </c>
      <c r="S10" s="118">
        <f t="shared" si="3"/>
        <v>120000000</v>
      </c>
      <c r="T10" s="118">
        <f t="shared" si="3"/>
        <v>132000000</v>
      </c>
      <c r="U10" s="119">
        <f t="shared" si="3"/>
        <v>144000000</v>
      </c>
      <c r="V10" s="102"/>
      <c r="W10" s="102"/>
      <c r="X10" s="102"/>
      <c r="Y10" s="102"/>
      <c r="Z10" s="102"/>
    </row>
    <row r="11">
      <c r="A11" s="102"/>
      <c r="B11" s="120" t="s">
        <v>24</v>
      </c>
      <c r="C11" s="121">
        <v>2.3</v>
      </c>
      <c r="D11" s="121">
        <v>2.415</v>
      </c>
      <c r="E11" s="121">
        <v>2.53575</v>
      </c>
      <c r="F11" s="121">
        <v>2.6625375000000004</v>
      </c>
      <c r="G11" s="122">
        <v>2.7956643750000008</v>
      </c>
      <c r="H11" s="102"/>
      <c r="I11" s="120" t="s">
        <v>24</v>
      </c>
      <c r="J11" s="121">
        <v>2.3</v>
      </c>
      <c r="K11" s="121">
        <v>2.415</v>
      </c>
      <c r="L11" s="121">
        <v>2.53575</v>
      </c>
      <c r="M11" s="121">
        <v>2.6625375000000004</v>
      </c>
      <c r="N11" s="122">
        <v>2.7956643750000008</v>
      </c>
      <c r="O11" s="102"/>
      <c r="P11" s="120" t="s">
        <v>24</v>
      </c>
      <c r="Q11" s="121">
        <v>2.3</v>
      </c>
      <c r="R11" s="121">
        <v>2.415</v>
      </c>
      <c r="S11" s="121">
        <v>2.53575</v>
      </c>
      <c r="T11" s="121">
        <v>2.6625375000000004</v>
      </c>
      <c r="U11" s="122">
        <v>2.7956643750000008</v>
      </c>
      <c r="V11" s="102"/>
      <c r="W11" s="102"/>
      <c r="X11" s="102"/>
      <c r="Y11" s="102"/>
      <c r="Z11" s="102"/>
    </row>
    <row r="12">
      <c r="A12" s="102"/>
      <c r="B12" s="123" t="s">
        <v>28</v>
      </c>
      <c r="C12" s="121">
        <v>0.5</v>
      </c>
      <c r="D12" s="121">
        <v>0.525</v>
      </c>
      <c r="E12" s="121">
        <v>0.55125</v>
      </c>
      <c r="F12" s="121">
        <v>0.5788125000000001</v>
      </c>
      <c r="G12" s="122">
        <v>0.6077531250000001</v>
      </c>
      <c r="H12" s="102"/>
      <c r="I12" s="123" t="s">
        <v>28</v>
      </c>
      <c r="J12" s="121">
        <v>0.5</v>
      </c>
      <c r="K12" s="121">
        <v>0.525</v>
      </c>
      <c r="L12" s="121">
        <v>0.55125</v>
      </c>
      <c r="M12" s="121">
        <v>0.5788125000000001</v>
      </c>
      <c r="N12" s="122">
        <v>0.6077531250000001</v>
      </c>
      <c r="O12" s="102"/>
      <c r="P12" s="123" t="s">
        <v>28</v>
      </c>
      <c r="Q12" s="121">
        <v>0.5</v>
      </c>
      <c r="R12" s="121">
        <v>0.525</v>
      </c>
      <c r="S12" s="121">
        <v>0.55125</v>
      </c>
      <c r="T12" s="121">
        <v>0.5788125000000001</v>
      </c>
      <c r="U12" s="122">
        <v>0.6077531250000001</v>
      </c>
      <c r="V12" s="102"/>
      <c r="W12" s="102"/>
      <c r="X12" s="102"/>
      <c r="Y12" s="102"/>
      <c r="Z12" s="102"/>
    </row>
    <row r="13">
      <c r="A13" s="102"/>
      <c r="B13" s="123" t="s">
        <v>33</v>
      </c>
      <c r="C13" s="121">
        <v>2.8</v>
      </c>
      <c r="D13" s="121">
        <v>2.94</v>
      </c>
      <c r="E13" s="121">
        <v>3.087</v>
      </c>
      <c r="F13" s="121">
        <v>3.2413500000000006</v>
      </c>
      <c r="G13" s="122">
        <v>3.4034175000000007</v>
      </c>
      <c r="H13" s="102"/>
      <c r="I13" s="123" t="s">
        <v>33</v>
      </c>
      <c r="J13" s="121">
        <v>2.8</v>
      </c>
      <c r="K13" s="121">
        <v>2.94</v>
      </c>
      <c r="L13" s="121">
        <v>3.087</v>
      </c>
      <c r="M13" s="121">
        <v>3.2413500000000006</v>
      </c>
      <c r="N13" s="122">
        <v>3.4034175000000007</v>
      </c>
      <c r="O13" s="102"/>
      <c r="P13" s="123" t="s">
        <v>33</v>
      </c>
      <c r="Q13" s="121">
        <v>2.8</v>
      </c>
      <c r="R13" s="121">
        <v>2.94</v>
      </c>
      <c r="S13" s="121">
        <v>3.087</v>
      </c>
      <c r="T13" s="121">
        <v>3.2413500000000006</v>
      </c>
      <c r="U13" s="122">
        <v>3.4034175000000007</v>
      </c>
      <c r="V13" s="102"/>
      <c r="W13" s="102"/>
      <c r="X13" s="102"/>
      <c r="Y13" s="102"/>
      <c r="Z13" s="102"/>
    </row>
    <row r="14">
      <c r="A14" s="102"/>
      <c r="B14" s="124" t="s">
        <v>36</v>
      </c>
      <c r="C14" s="125">
        <v>0.1</v>
      </c>
      <c r="D14" s="125">
        <v>0.10500000000000001</v>
      </c>
      <c r="E14" s="125">
        <v>0.11025000000000001</v>
      </c>
      <c r="F14" s="125">
        <v>0.11576250000000002</v>
      </c>
      <c r="G14" s="126">
        <v>0.12155062500000002</v>
      </c>
      <c r="H14" s="102"/>
      <c r="I14" s="124" t="s">
        <v>36</v>
      </c>
      <c r="J14" s="125">
        <v>0.1</v>
      </c>
      <c r="K14" s="125">
        <v>0.10500000000000001</v>
      </c>
      <c r="L14" s="125">
        <v>0.11025000000000001</v>
      </c>
      <c r="M14" s="125">
        <v>0.11576250000000002</v>
      </c>
      <c r="N14" s="126">
        <v>0.12155062500000002</v>
      </c>
      <c r="O14" s="102"/>
      <c r="P14" s="124" t="s">
        <v>36</v>
      </c>
      <c r="Q14" s="125">
        <v>0.1</v>
      </c>
      <c r="R14" s="125">
        <v>0.10500000000000001</v>
      </c>
      <c r="S14" s="125">
        <v>0.11025000000000001</v>
      </c>
      <c r="T14" s="125">
        <v>0.11576250000000002</v>
      </c>
      <c r="U14" s="126">
        <v>0.12155062500000002</v>
      </c>
      <c r="V14" s="102"/>
      <c r="W14" s="102"/>
      <c r="X14" s="102"/>
      <c r="Y14" s="102"/>
      <c r="Z14" s="102"/>
    </row>
    <row r="15">
      <c r="A15" s="102"/>
      <c r="B15" s="127" t="s">
        <v>39</v>
      </c>
      <c r="C15" s="128">
        <v>2.9</v>
      </c>
      <c r="D15" s="128">
        <v>3.045</v>
      </c>
      <c r="E15" s="128">
        <v>3.1972500000000004</v>
      </c>
      <c r="F15" s="128">
        <v>3.357112500000001</v>
      </c>
      <c r="G15" s="129">
        <v>3.524968125000001</v>
      </c>
      <c r="H15" s="102"/>
      <c r="I15" s="127" t="s">
        <v>39</v>
      </c>
      <c r="J15" s="128">
        <v>2.9</v>
      </c>
      <c r="K15" s="128">
        <v>3.045</v>
      </c>
      <c r="L15" s="128">
        <v>3.1972500000000004</v>
      </c>
      <c r="M15" s="128">
        <v>3.357112500000001</v>
      </c>
      <c r="N15" s="129">
        <v>3.524968125000001</v>
      </c>
      <c r="O15" s="102"/>
      <c r="P15" s="127" t="s">
        <v>39</v>
      </c>
      <c r="Q15" s="128">
        <v>2.9</v>
      </c>
      <c r="R15" s="128">
        <v>3.045</v>
      </c>
      <c r="S15" s="128">
        <v>3.1972500000000004</v>
      </c>
      <c r="T15" s="128">
        <v>3.357112500000001</v>
      </c>
      <c r="U15" s="129">
        <v>3.524968125000001</v>
      </c>
      <c r="V15" s="102"/>
      <c r="W15" s="102"/>
      <c r="X15" s="102"/>
      <c r="Y15" s="102"/>
      <c r="Z15" s="102"/>
    </row>
    <row r="16">
      <c r="A16" s="102"/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>
      <c r="A17" s="102"/>
      <c r="B17" s="130">
        <v>0.004</v>
      </c>
      <c r="C17" s="102"/>
      <c r="D17" s="102"/>
      <c r="E17" s="102"/>
      <c r="F17" s="102"/>
      <c r="G17" s="102"/>
      <c r="H17" s="102"/>
      <c r="I17" s="130">
        <v>0.004</v>
      </c>
      <c r="J17" s="102"/>
      <c r="K17" s="102"/>
      <c r="L17" s="102"/>
      <c r="M17" s="102"/>
      <c r="N17" s="102"/>
      <c r="O17" s="102"/>
      <c r="P17" s="130">
        <v>0.004</v>
      </c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>
      <c r="A18" s="102"/>
      <c r="B18" s="131" t="s">
        <v>81</v>
      </c>
      <c r="C18" s="132" t="s">
        <v>82</v>
      </c>
      <c r="D18" s="102"/>
      <c r="E18" s="102"/>
      <c r="F18" s="102"/>
      <c r="G18" s="102"/>
      <c r="H18" s="102"/>
      <c r="I18" s="131" t="s">
        <v>81</v>
      </c>
      <c r="J18" s="132" t="s">
        <v>82</v>
      </c>
      <c r="K18" s="102"/>
      <c r="L18" s="102"/>
      <c r="M18" s="102"/>
      <c r="N18" s="102"/>
      <c r="O18" s="102"/>
      <c r="P18" s="131" t="s">
        <v>81</v>
      </c>
      <c r="Q18" s="132" t="s">
        <v>82</v>
      </c>
      <c r="R18" s="102"/>
      <c r="S18" s="102"/>
      <c r="T18" s="102"/>
      <c r="U18" s="102"/>
      <c r="V18" s="102"/>
      <c r="W18" s="102"/>
      <c r="X18" s="102"/>
      <c r="Y18" s="102"/>
      <c r="Z18" s="102"/>
    </row>
    <row r="19">
      <c r="A19" s="102"/>
      <c r="B19" s="111" t="s">
        <v>5</v>
      </c>
      <c r="C19" s="133" t="s">
        <v>6</v>
      </c>
      <c r="D19" s="134" t="s">
        <v>7</v>
      </c>
      <c r="E19" s="134" t="s">
        <v>8</v>
      </c>
      <c r="F19" s="134" t="s">
        <v>9</v>
      </c>
      <c r="G19" s="135" t="s">
        <v>10</v>
      </c>
      <c r="H19" s="102"/>
      <c r="I19" s="111" t="s">
        <v>5</v>
      </c>
      <c r="J19" s="133" t="s">
        <v>6</v>
      </c>
      <c r="K19" s="134" t="s">
        <v>7</v>
      </c>
      <c r="L19" s="134" t="s">
        <v>8</v>
      </c>
      <c r="M19" s="134" t="s">
        <v>9</v>
      </c>
      <c r="N19" s="135" t="s">
        <v>10</v>
      </c>
      <c r="O19" s="102"/>
      <c r="P19" s="111" t="s">
        <v>5</v>
      </c>
      <c r="Q19" s="133" t="s">
        <v>6</v>
      </c>
      <c r="R19" s="134" t="s">
        <v>7</v>
      </c>
      <c r="S19" s="134" t="s">
        <v>8</v>
      </c>
      <c r="T19" s="134" t="s">
        <v>9</v>
      </c>
      <c r="U19" s="135" t="s">
        <v>10</v>
      </c>
      <c r="V19" s="102"/>
      <c r="W19" s="102"/>
      <c r="X19" s="102"/>
      <c r="Y19" s="102"/>
      <c r="Z19" s="102"/>
    </row>
    <row r="20">
      <c r="A20" s="102"/>
      <c r="B20" s="136" t="s">
        <v>15</v>
      </c>
      <c r="C20" s="137">
        <f t="shared" ref="C20:G20" si="4">$B$17*C9</f>
        <v>36000</v>
      </c>
      <c r="D20" s="138">
        <f t="shared" si="4"/>
        <v>40000</v>
      </c>
      <c r="E20" s="138">
        <f t="shared" si="4"/>
        <v>52000</v>
      </c>
      <c r="F20" s="138">
        <f t="shared" si="4"/>
        <v>56000</v>
      </c>
      <c r="G20" s="139">
        <f t="shared" si="4"/>
        <v>60000</v>
      </c>
      <c r="H20" s="102"/>
      <c r="I20" s="136" t="s">
        <v>15</v>
      </c>
      <c r="J20" s="137">
        <f t="shared" ref="J20:N20" si="5">$I$17*J9</f>
        <v>36000</v>
      </c>
      <c r="K20" s="138">
        <f t="shared" si="5"/>
        <v>36000</v>
      </c>
      <c r="L20" s="138">
        <f t="shared" si="5"/>
        <v>48000</v>
      </c>
      <c r="M20" s="138">
        <f t="shared" si="5"/>
        <v>56000</v>
      </c>
      <c r="N20" s="139">
        <f t="shared" si="5"/>
        <v>60000</v>
      </c>
      <c r="O20" s="102"/>
      <c r="P20" s="136" t="s">
        <v>15</v>
      </c>
      <c r="Q20" s="137">
        <f t="shared" ref="Q20:U20" si="6">$I$17*Q9</f>
        <v>32000</v>
      </c>
      <c r="R20" s="138">
        <f t="shared" si="6"/>
        <v>36000</v>
      </c>
      <c r="S20" s="138">
        <f t="shared" si="6"/>
        <v>40000</v>
      </c>
      <c r="T20" s="138">
        <f t="shared" si="6"/>
        <v>44000</v>
      </c>
      <c r="U20" s="139">
        <f t="shared" si="6"/>
        <v>48000</v>
      </c>
      <c r="V20" s="102"/>
      <c r="W20" s="102"/>
      <c r="X20" s="102"/>
      <c r="Y20" s="102"/>
      <c r="Z20" s="102"/>
    </row>
    <row r="21" ht="15.75" customHeight="1">
      <c r="A21" s="102"/>
      <c r="B21" s="136" t="s">
        <v>20</v>
      </c>
      <c r="C21" s="140">
        <f t="shared" ref="C21:G21" si="7">C20*12</f>
        <v>432000</v>
      </c>
      <c r="D21" s="141">
        <f t="shared" si="7"/>
        <v>480000</v>
      </c>
      <c r="E21" s="141">
        <f t="shared" si="7"/>
        <v>624000</v>
      </c>
      <c r="F21" s="141">
        <f t="shared" si="7"/>
        <v>672000</v>
      </c>
      <c r="G21" s="142">
        <f t="shared" si="7"/>
        <v>720000</v>
      </c>
      <c r="H21" s="102"/>
      <c r="I21" s="136" t="s">
        <v>20</v>
      </c>
      <c r="J21" s="143">
        <f t="shared" ref="J21:N21" si="8">J20*12</f>
        <v>432000</v>
      </c>
      <c r="K21" s="141">
        <f t="shared" si="8"/>
        <v>432000</v>
      </c>
      <c r="L21" s="141">
        <f t="shared" si="8"/>
        <v>576000</v>
      </c>
      <c r="M21" s="141">
        <f t="shared" si="8"/>
        <v>672000</v>
      </c>
      <c r="N21" s="142">
        <f t="shared" si="8"/>
        <v>720000</v>
      </c>
      <c r="O21" s="102"/>
      <c r="P21" s="136" t="s">
        <v>20</v>
      </c>
      <c r="Q21" s="140">
        <f t="shared" ref="Q21:U21" si="9">Q20*12</f>
        <v>384000</v>
      </c>
      <c r="R21" s="141">
        <f t="shared" si="9"/>
        <v>432000</v>
      </c>
      <c r="S21" s="141">
        <f t="shared" si="9"/>
        <v>480000</v>
      </c>
      <c r="T21" s="141">
        <f t="shared" si="9"/>
        <v>528000</v>
      </c>
      <c r="U21" s="142">
        <f t="shared" si="9"/>
        <v>576000</v>
      </c>
      <c r="V21" s="102"/>
      <c r="W21" s="102"/>
      <c r="X21" s="102"/>
      <c r="Y21" s="102"/>
      <c r="Z21" s="102"/>
    </row>
    <row r="22" ht="15.75" customHeight="1">
      <c r="A22" s="102"/>
      <c r="B22" s="144" t="s">
        <v>83</v>
      </c>
      <c r="C22" s="145">
        <f>Data_Input!$M$19</f>
        <v>18</v>
      </c>
      <c r="D22" s="146">
        <f>Data_Input!$M$19</f>
        <v>18</v>
      </c>
      <c r="E22" s="146">
        <f>Data_Input!$M$19</f>
        <v>18</v>
      </c>
      <c r="F22" s="146">
        <f>Data_Input!$M$19</f>
        <v>18</v>
      </c>
      <c r="G22" s="147">
        <f>Data_Input!$M$19</f>
        <v>18</v>
      </c>
      <c r="H22" s="148"/>
      <c r="I22" s="149"/>
      <c r="J22" s="145">
        <f>Data_Input!$M$19</f>
        <v>18</v>
      </c>
      <c r="K22" s="146">
        <f>Data_Input!$M$19</f>
        <v>18</v>
      </c>
      <c r="L22" s="146">
        <f>Data_Input!$M$19</f>
        <v>18</v>
      </c>
      <c r="M22" s="146">
        <f>Data_Input!$M$19</f>
        <v>18</v>
      </c>
      <c r="N22" s="147">
        <f>Data_Input!$M$19</f>
        <v>18</v>
      </c>
      <c r="O22" s="148"/>
      <c r="P22" s="144"/>
      <c r="Q22" s="145">
        <f>Data_Input!$M$19</f>
        <v>18</v>
      </c>
      <c r="R22" s="146">
        <f>Data_Input!$M$19</f>
        <v>18</v>
      </c>
      <c r="S22" s="146">
        <f>Data_Input!$M$19</f>
        <v>18</v>
      </c>
      <c r="T22" s="146">
        <f>Data_Input!$M$19</f>
        <v>18</v>
      </c>
      <c r="U22" s="147">
        <f>Data_Input!$M$19</f>
        <v>18</v>
      </c>
      <c r="V22" s="148"/>
      <c r="W22" s="102"/>
      <c r="X22" s="102"/>
      <c r="Y22" s="102"/>
      <c r="Z22" s="102"/>
    </row>
    <row r="23" ht="15.75" customHeight="1">
      <c r="A23" s="102"/>
      <c r="B23" s="102"/>
      <c r="C23" s="150"/>
      <c r="D23" s="150"/>
      <c r="E23" s="150"/>
      <c r="F23" s="150"/>
      <c r="G23" s="150"/>
      <c r="H23" s="102"/>
      <c r="I23" s="102"/>
      <c r="J23" s="102"/>
      <c r="K23" s="150"/>
      <c r="L23" s="150"/>
      <c r="M23" s="150"/>
      <c r="N23" s="150"/>
      <c r="O23" s="102"/>
      <c r="P23" s="102"/>
      <c r="Q23" s="150"/>
      <c r="R23" s="150"/>
      <c r="S23" s="150"/>
      <c r="T23" s="150"/>
      <c r="U23" s="150"/>
      <c r="V23" s="102"/>
      <c r="W23" s="102"/>
      <c r="X23" s="102"/>
      <c r="Y23" s="102"/>
      <c r="Z23" s="102"/>
    </row>
    <row r="24" ht="15.75" customHeight="1">
      <c r="A24" s="102"/>
      <c r="B24" s="151" t="s">
        <v>84</v>
      </c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</row>
    <row r="25" ht="15.75" customHeight="1">
      <c r="A25" s="102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</row>
    <row r="26" ht="15.75" customHeight="1">
      <c r="A26" s="102"/>
      <c r="B26" s="107" t="s">
        <v>76</v>
      </c>
      <c r="C26" s="102"/>
      <c r="D26" s="102"/>
      <c r="E26" s="102"/>
      <c r="F26" s="102"/>
      <c r="G26" s="102"/>
      <c r="H26" s="102"/>
      <c r="I26" s="107" t="s">
        <v>77</v>
      </c>
      <c r="J26" s="102"/>
      <c r="K26" s="102"/>
      <c r="L26" s="102"/>
      <c r="M26" s="102"/>
      <c r="N26" s="102"/>
      <c r="O26" s="102"/>
      <c r="P26" s="107" t="s">
        <v>78</v>
      </c>
      <c r="Q26" s="102"/>
      <c r="R26" s="102"/>
      <c r="S26" s="102"/>
      <c r="T26" s="102"/>
      <c r="U26" s="102"/>
      <c r="V26" s="102"/>
      <c r="W26" s="102"/>
      <c r="X26" s="102"/>
      <c r="Y26" s="102"/>
      <c r="Z26" s="102"/>
    </row>
    <row r="27" ht="15.75" customHeight="1">
      <c r="A27" s="102"/>
      <c r="B27" s="15" t="s">
        <v>85</v>
      </c>
      <c r="C27" s="22" t="s">
        <v>6</v>
      </c>
      <c r="D27" s="22" t="s">
        <v>7</v>
      </c>
      <c r="E27" s="22" t="s">
        <v>8</v>
      </c>
      <c r="F27" s="22" t="s">
        <v>9</v>
      </c>
      <c r="G27" s="23" t="s">
        <v>10</v>
      </c>
      <c r="H27" s="102"/>
      <c r="I27" s="15" t="s">
        <v>85</v>
      </c>
      <c r="J27" s="22" t="s">
        <v>6</v>
      </c>
      <c r="K27" s="22" t="s">
        <v>7</v>
      </c>
      <c r="L27" s="22" t="s">
        <v>8</v>
      </c>
      <c r="M27" s="22" t="s">
        <v>9</v>
      </c>
      <c r="N27" s="23" t="s">
        <v>10</v>
      </c>
      <c r="O27" s="102"/>
      <c r="P27" s="15" t="s">
        <v>85</v>
      </c>
      <c r="Q27" s="111" t="s">
        <v>6</v>
      </c>
      <c r="R27" s="22" t="s">
        <v>7</v>
      </c>
      <c r="S27" s="22" t="s">
        <v>8</v>
      </c>
      <c r="T27" s="22" t="s">
        <v>9</v>
      </c>
      <c r="U27" s="23" t="s">
        <v>10</v>
      </c>
      <c r="V27" s="102"/>
      <c r="W27" s="102"/>
      <c r="X27" s="102"/>
      <c r="Y27" s="102"/>
      <c r="Z27" s="102"/>
    </row>
    <row r="28" ht="15.75" customHeight="1">
      <c r="A28" s="102"/>
      <c r="B28" s="33" t="s">
        <v>86</v>
      </c>
      <c r="C28" s="102"/>
      <c r="D28" s="102"/>
      <c r="E28" s="121">
        <v>0.2</v>
      </c>
      <c r="F28" s="121">
        <v>0.2</v>
      </c>
      <c r="G28" s="122">
        <v>0.2</v>
      </c>
      <c r="H28" s="102"/>
      <c r="I28" s="33" t="s">
        <v>86</v>
      </c>
      <c r="J28" s="152"/>
      <c r="K28" s="153"/>
      <c r="L28" s="154">
        <v>0.1</v>
      </c>
      <c r="M28" s="154">
        <v>0.1</v>
      </c>
      <c r="N28" s="155">
        <v>0.1</v>
      </c>
      <c r="O28" s="102"/>
      <c r="P28" s="33" t="s">
        <v>86</v>
      </c>
      <c r="Q28" s="156"/>
      <c r="R28" s="102"/>
      <c r="S28" s="121">
        <v>0.05</v>
      </c>
      <c r="T28" s="121">
        <v>0.05</v>
      </c>
      <c r="U28" s="122">
        <v>0.05</v>
      </c>
      <c r="V28" s="102"/>
      <c r="W28" s="102"/>
      <c r="X28" s="102"/>
      <c r="Y28" s="102"/>
      <c r="Z28" s="102"/>
    </row>
    <row r="29" ht="15.75" customHeight="1">
      <c r="A29" s="102"/>
      <c r="B29" s="33" t="s">
        <v>87</v>
      </c>
      <c r="C29" s="102"/>
      <c r="D29" s="102"/>
      <c r="E29" s="121">
        <v>1.15</v>
      </c>
      <c r="F29" s="121">
        <v>1.15</v>
      </c>
      <c r="G29" s="122">
        <v>1.15</v>
      </c>
      <c r="H29" s="102"/>
      <c r="I29" s="33" t="s">
        <v>87</v>
      </c>
      <c r="J29" s="156"/>
      <c r="K29" s="102"/>
      <c r="L29" s="121">
        <v>0.75</v>
      </c>
      <c r="M29" s="121">
        <v>0.75</v>
      </c>
      <c r="N29" s="122">
        <v>0.75</v>
      </c>
      <c r="O29" s="102"/>
      <c r="P29" s="33" t="s">
        <v>87</v>
      </c>
      <c r="Q29" s="156"/>
      <c r="R29" s="102"/>
      <c r="S29" s="121">
        <v>0.5</v>
      </c>
      <c r="T29" s="121">
        <v>0.5</v>
      </c>
      <c r="U29" s="122">
        <v>0.5</v>
      </c>
      <c r="V29" s="102"/>
      <c r="W29" s="102"/>
      <c r="X29" s="102"/>
      <c r="Y29" s="102"/>
      <c r="Z29" s="102"/>
    </row>
    <row r="30" ht="15.75" customHeight="1">
      <c r="A30" s="102"/>
      <c r="B30" s="81" t="s">
        <v>88</v>
      </c>
      <c r="C30" s="157"/>
      <c r="D30" s="157"/>
      <c r="E30" s="125">
        <v>2.0</v>
      </c>
      <c r="F30" s="125">
        <v>2.0</v>
      </c>
      <c r="G30" s="126">
        <v>2.0</v>
      </c>
      <c r="H30" s="102"/>
      <c r="I30" s="81" t="s">
        <v>88</v>
      </c>
      <c r="J30" s="149"/>
      <c r="K30" s="157"/>
      <c r="L30" s="125">
        <v>1.0</v>
      </c>
      <c r="M30" s="125">
        <v>1.0</v>
      </c>
      <c r="N30" s="126">
        <v>1.0</v>
      </c>
      <c r="O30" s="102"/>
      <c r="P30" s="81" t="s">
        <v>88</v>
      </c>
      <c r="Q30" s="149"/>
      <c r="R30" s="157"/>
      <c r="S30" s="125">
        <v>0.75</v>
      </c>
      <c r="T30" s="125">
        <v>0.75</v>
      </c>
      <c r="U30" s="126">
        <v>0.75</v>
      </c>
      <c r="V30" s="102"/>
      <c r="W30" s="102"/>
      <c r="X30" s="102"/>
      <c r="Y30" s="102"/>
      <c r="Z30" s="102"/>
    </row>
    <row r="31" ht="15.75" customHeight="1">
      <c r="A31" s="102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</row>
    <row r="32" ht="15.75" customHeight="1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</row>
    <row r="33" ht="15.75" customHeight="1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</row>
    <row r="34" ht="15.75" customHeight="1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</row>
    <row r="35" ht="15.75" customHeight="1">
      <c r="A35" s="102"/>
      <c r="B35" s="151" t="s">
        <v>89</v>
      </c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</row>
    <row r="36" ht="15.75" customHeight="1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</row>
    <row r="37" ht="15.75" customHeight="1">
      <c r="A37" s="102"/>
      <c r="B37" s="4">
        <v>0.09</v>
      </c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</row>
    <row r="38" ht="15.75" customHeight="1">
      <c r="A38" s="102"/>
      <c r="B38" s="4">
        <v>0.1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</row>
    <row r="39" ht="15.75" customHeight="1">
      <c r="A39" s="102"/>
      <c r="B39" s="4">
        <v>0.12</v>
      </c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</row>
    <row r="40" ht="15.75" customHeight="1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</row>
    <row r="41" ht="15.75" customHeight="1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</row>
    <row r="42" ht="15.75" customHeight="1">
      <c r="A42" s="102"/>
      <c r="B42" s="151" t="s">
        <v>90</v>
      </c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</row>
    <row r="43" ht="15.75" customHeight="1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</row>
    <row r="44" ht="15.75" customHeight="1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</row>
    <row r="45" ht="15.75" customHeight="1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</row>
    <row r="46" ht="15.75" customHeight="1">
      <c r="A46" s="102"/>
      <c r="B46" s="102"/>
      <c r="C46" s="102" t="s">
        <v>91</v>
      </c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</row>
    <row r="47" ht="15.75" customHeight="1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</row>
    <row r="48" ht="15.75" customHeight="1">
      <c r="A48" s="102"/>
      <c r="B48" s="102"/>
      <c r="C48" s="102"/>
      <c r="D48" s="102"/>
      <c r="E48" s="102" t="s">
        <v>92</v>
      </c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2"/>
      <c r="U48" s="102"/>
      <c r="V48" s="102"/>
      <c r="W48" s="102"/>
      <c r="X48" s="102"/>
      <c r="Y48" s="102"/>
      <c r="Z48" s="102"/>
    </row>
    <row r="49" ht="15.75" customHeight="1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</row>
    <row r="50" ht="15.75" customHeight="1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</row>
    <row r="51" ht="15.75" customHeight="1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</row>
    <row r="52" ht="15.75" customHeight="1">
      <c r="A52" s="102"/>
      <c r="B52" s="102" t="s">
        <v>93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</row>
    <row r="53" ht="15.75" customHeight="1">
      <c r="A53" s="102"/>
      <c r="B53" s="102" t="s">
        <v>94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</row>
    <row r="54" ht="15.75" customHeight="1">
      <c r="A54" s="102"/>
      <c r="B54" s="102" t="s">
        <v>95</v>
      </c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</row>
    <row r="55" ht="15.75" customHeight="1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</row>
    <row r="56" ht="15.75" customHeight="1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</row>
    <row r="57" ht="15.75" customHeight="1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</row>
    <row r="58" ht="15.75" customHeight="1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</row>
    <row r="59" ht="15.75" customHeight="1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</row>
    <row r="60" ht="15.75" customHeight="1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</row>
    <row r="61" ht="15.75" customHeight="1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</row>
    <row r="62" ht="15.75" customHeight="1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</row>
    <row r="63" ht="15.75" customHeight="1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</row>
    <row r="64" ht="15.75" customHeight="1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</row>
    <row r="65" ht="15.75" customHeight="1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</row>
    <row r="66" ht="15.75" customHeight="1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</row>
    <row r="67" ht="15.75" customHeight="1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</row>
    <row r="68" ht="15.75" customHeight="1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</row>
    <row r="69" ht="15.75" customHeight="1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</row>
    <row r="70" ht="15.75" customHeight="1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</row>
    <row r="71" ht="15.75" customHeight="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  <c r="Y71" s="102"/>
      <c r="Z71" s="102"/>
    </row>
    <row r="72" ht="15.75" customHeight="1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  <c r="Y72" s="102"/>
      <c r="Z72" s="102"/>
    </row>
    <row r="73" ht="15.75" customHeight="1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</row>
    <row r="74" ht="15.75" customHeight="1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</row>
    <row r="75" ht="15.75" customHeight="1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  <c r="Y75" s="102"/>
      <c r="Z75" s="102"/>
    </row>
    <row r="76" ht="15.75" customHeight="1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  <c r="X76" s="102"/>
      <c r="Y76" s="102"/>
      <c r="Z76" s="102"/>
    </row>
    <row r="77" ht="15.75" customHeight="1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102"/>
    </row>
    <row r="78" ht="15.75" customHeight="1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</row>
    <row r="79" ht="15.75" customHeight="1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102"/>
    </row>
    <row r="80" ht="15.75" customHeight="1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</row>
    <row r="81" ht="15.75" customHeight="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</row>
    <row r="82" ht="15.75" customHeight="1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</row>
    <row r="83" ht="15.75" customHeigh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</row>
    <row r="84" ht="15.75" customHeight="1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</row>
    <row r="85" ht="15.75" customHeight="1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</row>
    <row r="86" ht="15.75" customHeight="1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</row>
    <row r="87" ht="15.75" customHeight="1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</row>
    <row r="88" ht="15.75" customHeight="1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</row>
    <row r="89" ht="15.75" customHeight="1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</row>
    <row r="90" ht="15.75" customHeight="1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</row>
    <row r="91" ht="15.75" customHeight="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</row>
    <row r="92" ht="15.75" customHeight="1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</row>
    <row r="93" ht="15.75" customHeight="1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</row>
    <row r="94" ht="15.75" customHeight="1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</row>
    <row r="95" ht="15.75" customHeight="1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</row>
    <row r="96" ht="15.75" customHeight="1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</row>
    <row r="97" ht="15.75" customHeight="1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5.75" customHeight="1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</row>
    <row r="101" ht="15.75" customHeight="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</row>
    <row r="102" ht="15.75" customHeight="1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</row>
    <row r="103" ht="15.75" customHeight="1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</row>
    <row r="104" ht="15.75" customHeight="1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</row>
    <row r="105" ht="15.75" customHeight="1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</row>
    <row r="106" ht="15.75" customHeight="1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</row>
    <row r="107" ht="15.75" customHeight="1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</row>
    <row r="108" ht="15.75" customHeight="1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</row>
    <row r="109" ht="15.75" customHeight="1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</row>
    <row r="110" ht="15.75" customHeight="1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</row>
    <row r="111" ht="15.75" customHeight="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</row>
    <row r="112" ht="15.75" customHeight="1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  <c r="X112" s="102"/>
      <c r="Y112" s="102"/>
      <c r="Z112" s="102"/>
    </row>
    <row r="113" ht="15.75" customHeight="1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  <c r="X113" s="102"/>
      <c r="Y113" s="102"/>
      <c r="Z113" s="102"/>
    </row>
    <row r="114" ht="15.75" customHeight="1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  <c r="X114" s="102"/>
      <c r="Y114" s="102"/>
      <c r="Z114" s="102"/>
    </row>
    <row r="115" ht="15.75" customHeight="1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  <c r="X115" s="102"/>
      <c r="Y115" s="102"/>
      <c r="Z115" s="102"/>
    </row>
    <row r="116" ht="15.75" customHeight="1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  <c r="X116" s="102"/>
      <c r="Y116" s="102"/>
      <c r="Z116" s="102"/>
    </row>
    <row r="117" ht="15.75" customHeight="1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  <c r="X117" s="102"/>
      <c r="Y117" s="102"/>
      <c r="Z117" s="102"/>
    </row>
    <row r="118" ht="15.75" customHeight="1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  <c r="X118" s="102"/>
      <c r="Y118" s="102"/>
      <c r="Z118" s="102"/>
    </row>
    <row r="119" ht="15.75" customHeight="1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  <c r="X119" s="102"/>
      <c r="Y119" s="102"/>
      <c r="Z119" s="102"/>
    </row>
    <row r="120" ht="15.75" customHeight="1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</row>
    <row r="121" ht="15.75" customHeight="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</row>
    <row r="122" ht="15.75" customHeight="1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</row>
    <row r="123" ht="15.75" customHeight="1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</row>
    <row r="124" ht="15.75" customHeight="1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02"/>
    </row>
    <row r="125" ht="15.75" customHeight="1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</row>
    <row r="126" ht="15.75" customHeight="1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  <c r="X126" s="102"/>
      <c r="Y126" s="102"/>
      <c r="Z126" s="102"/>
    </row>
    <row r="127" ht="15.75" customHeight="1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</row>
    <row r="128" ht="15.75" customHeight="1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</row>
    <row r="129" ht="15.75" customHeight="1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</row>
    <row r="130" ht="15.75" customHeight="1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</row>
    <row r="131" ht="15.75" customHeight="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</row>
    <row r="132" ht="15.75" customHeight="1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</row>
    <row r="133" ht="15.75" customHeight="1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</row>
    <row r="134" ht="15.75" customHeight="1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  <c r="X134" s="102"/>
      <c r="Y134" s="102"/>
      <c r="Z134" s="102"/>
    </row>
    <row r="135" ht="15.75" customHeight="1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</row>
    <row r="136" ht="15.75" customHeight="1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</row>
    <row r="137" ht="15.75" customHeight="1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</row>
    <row r="138" ht="15.75" customHeight="1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  <c r="X138" s="102"/>
      <c r="Y138" s="102"/>
      <c r="Z138" s="102"/>
    </row>
    <row r="139" ht="15.75" customHeight="1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  <c r="X139" s="102"/>
      <c r="Y139" s="102"/>
      <c r="Z139" s="102"/>
    </row>
    <row r="140" ht="15.75" customHeight="1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  <c r="X140" s="102"/>
      <c r="Y140" s="102"/>
      <c r="Z140" s="102"/>
    </row>
    <row r="141" ht="15.75" customHeight="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  <c r="X141" s="102"/>
      <c r="Y141" s="102"/>
      <c r="Z141" s="102"/>
    </row>
    <row r="142" ht="15.75" customHeight="1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  <c r="X142" s="102"/>
      <c r="Y142" s="102"/>
      <c r="Z142" s="102"/>
    </row>
    <row r="143" ht="15.75" customHeight="1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  <c r="X143" s="102"/>
      <c r="Y143" s="102"/>
      <c r="Z143" s="102"/>
    </row>
    <row r="144" ht="15.75" customHeight="1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  <c r="X144" s="102"/>
      <c r="Y144" s="102"/>
      <c r="Z144" s="102"/>
    </row>
    <row r="145" ht="15.75" customHeight="1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  <c r="X145" s="102"/>
      <c r="Y145" s="102"/>
      <c r="Z145" s="102"/>
    </row>
    <row r="146" ht="15.75" customHeight="1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  <c r="X146" s="102"/>
      <c r="Y146" s="102"/>
      <c r="Z146" s="102"/>
    </row>
    <row r="147" ht="15.75" customHeight="1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  <c r="X147" s="102"/>
      <c r="Y147" s="102"/>
      <c r="Z147" s="102"/>
    </row>
    <row r="148" ht="15.75" customHeight="1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  <c r="X148" s="102"/>
      <c r="Y148" s="102"/>
      <c r="Z148" s="102"/>
    </row>
    <row r="149" ht="15.75" customHeight="1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</row>
    <row r="150" ht="15.75" customHeight="1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  <c r="X150" s="102"/>
      <c r="Y150" s="102"/>
      <c r="Z150" s="102"/>
    </row>
    <row r="151" ht="15.75" customHeight="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  <c r="X151" s="102"/>
      <c r="Y151" s="102"/>
      <c r="Z151" s="102"/>
    </row>
    <row r="152" ht="15.75" customHeight="1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  <c r="X152" s="102"/>
      <c r="Y152" s="102"/>
      <c r="Z152" s="102"/>
    </row>
    <row r="153" ht="15.75" customHeight="1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</row>
    <row r="154" ht="15.75" customHeight="1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  <c r="X154" s="102"/>
      <c r="Y154" s="102"/>
      <c r="Z154" s="102"/>
    </row>
    <row r="155" ht="15.75" customHeight="1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  <c r="X155" s="102"/>
      <c r="Y155" s="102"/>
      <c r="Z155" s="102"/>
    </row>
    <row r="156" ht="15.75" customHeight="1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  <c r="X156" s="102"/>
      <c r="Y156" s="102"/>
      <c r="Z156" s="102"/>
    </row>
    <row r="157" ht="15.75" customHeight="1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  <c r="X157" s="102"/>
      <c r="Y157" s="102"/>
      <c r="Z157" s="102"/>
    </row>
    <row r="158" ht="15.75" customHeight="1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  <c r="X158" s="102"/>
      <c r="Y158" s="102"/>
      <c r="Z158" s="102"/>
    </row>
    <row r="159" ht="15.75" customHeight="1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  <c r="X159" s="102"/>
      <c r="Y159" s="102"/>
      <c r="Z159" s="102"/>
    </row>
    <row r="160" ht="15.75" customHeight="1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  <c r="X160" s="102"/>
      <c r="Y160" s="102"/>
      <c r="Z160" s="102"/>
    </row>
    <row r="161" ht="15.75" customHeight="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</row>
    <row r="162" ht="15.75" customHeight="1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</row>
    <row r="163" ht="15.75" customHeight="1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</row>
    <row r="164" ht="15.75" customHeight="1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</row>
    <row r="165" ht="15.75" customHeight="1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</row>
    <row r="166" ht="15.75" customHeight="1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</row>
    <row r="167" ht="15.75" customHeight="1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</row>
    <row r="168" ht="15.75" customHeight="1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  <c r="X168" s="102"/>
      <c r="Y168" s="102"/>
      <c r="Z168" s="102"/>
    </row>
    <row r="169" ht="15.75" customHeight="1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  <c r="X169" s="102"/>
      <c r="Y169" s="102"/>
      <c r="Z169" s="102"/>
    </row>
    <row r="170" ht="15.75" customHeight="1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  <c r="X170" s="102"/>
      <c r="Y170" s="102"/>
      <c r="Z170" s="102"/>
    </row>
    <row r="171" ht="15.75" customHeight="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  <c r="X171" s="102"/>
      <c r="Y171" s="102"/>
      <c r="Z171" s="102"/>
    </row>
    <row r="172" ht="15.75" customHeight="1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  <c r="X172" s="102"/>
      <c r="Y172" s="102"/>
      <c r="Z172" s="102"/>
    </row>
    <row r="173" ht="15.75" customHeight="1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</row>
    <row r="174" ht="15.75" customHeight="1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  <c r="X174" s="102"/>
      <c r="Y174" s="102"/>
      <c r="Z174" s="102"/>
    </row>
    <row r="175" ht="15.75" customHeight="1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  <c r="X175" s="102"/>
      <c r="Y175" s="102"/>
      <c r="Z175" s="102"/>
    </row>
    <row r="176" ht="15.75" customHeight="1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  <c r="X176" s="102"/>
      <c r="Y176" s="102"/>
      <c r="Z176" s="102"/>
    </row>
    <row r="177" ht="15.75" customHeight="1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  <c r="X177" s="102"/>
      <c r="Y177" s="102"/>
      <c r="Z177" s="102"/>
    </row>
    <row r="178" ht="15.75" customHeight="1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  <c r="X178" s="102"/>
      <c r="Y178" s="102"/>
      <c r="Z178" s="102"/>
    </row>
    <row r="179" ht="15.75" customHeight="1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  <c r="X179" s="102"/>
      <c r="Y179" s="102"/>
      <c r="Z179" s="102"/>
    </row>
    <row r="180" ht="15.75" customHeight="1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  <c r="X180" s="102"/>
      <c r="Y180" s="102"/>
      <c r="Z180" s="102"/>
    </row>
    <row r="181" ht="15.75" customHeight="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  <c r="X181" s="102"/>
      <c r="Y181" s="102"/>
      <c r="Z181" s="102"/>
    </row>
    <row r="182" ht="15.75" customHeight="1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</row>
    <row r="183" ht="15.75" customHeight="1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  <c r="X183" s="102"/>
      <c r="Y183" s="102"/>
      <c r="Z183" s="102"/>
    </row>
    <row r="184" ht="15.75" customHeight="1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  <c r="X184" s="102"/>
      <c r="Y184" s="102"/>
      <c r="Z184" s="102"/>
    </row>
    <row r="185" ht="15.75" customHeight="1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</row>
    <row r="186" ht="15.75" customHeight="1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  <c r="X186" s="102"/>
      <c r="Y186" s="102"/>
      <c r="Z186" s="102"/>
    </row>
    <row r="187" ht="15.75" customHeight="1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  <c r="X187" s="102"/>
      <c r="Y187" s="102"/>
      <c r="Z187" s="102"/>
    </row>
    <row r="188" ht="15.75" customHeight="1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  <c r="X188" s="102"/>
      <c r="Y188" s="102"/>
      <c r="Z188" s="102"/>
    </row>
    <row r="189" ht="15.75" customHeight="1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  <c r="X189" s="102"/>
      <c r="Y189" s="102"/>
      <c r="Z189" s="102"/>
    </row>
    <row r="190" ht="15.75" customHeight="1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  <c r="X190" s="102"/>
      <c r="Y190" s="102"/>
      <c r="Z190" s="102"/>
    </row>
    <row r="191" ht="15.75" customHeight="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  <c r="X191" s="102"/>
      <c r="Y191" s="102"/>
      <c r="Z191" s="102"/>
    </row>
    <row r="192" ht="15.75" customHeight="1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  <c r="X192" s="102"/>
      <c r="Y192" s="102"/>
      <c r="Z192" s="102"/>
    </row>
    <row r="193" ht="15.75" customHeight="1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  <c r="X193" s="102"/>
      <c r="Y193" s="102"/>
      <c r="Z193" s="102"/>
    </row>
    <row r="194" ht="15.75" customHeight="1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  <c r="X194" s="102"/>
      <c r="Y194" s="102"/>
      <c r="Z194" s="102"/>
    </row>
    <row r="195" ht="15.75" customHeight="1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  <c r="X195" s="102"/>
      <c r="Y195" s="102"/>
      <c r="Z195" s="102"/>
    </row>
    <row r="196" ht="15.75" customHeight="1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  <c r="X196" s="102"/>
      <c r="Y196" s="102"/>
      <c r="Z196" s="102"/>
    </row>
    <row r="197" ht="15.75" customHeight="1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  <c r="X197" s="102"/>
      <c r="Y197" s="102"/>
      <c r="Z197" s="102"/>
    </row>
    <row r="198" ht="15.75" customHeight="1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  <c r="X198" s="102"/>
      <c r="Y198" s="102"/>
      <c r="Z198" s="102"/>
    </row>
    <row r="199" ht="15.75" customHeight="1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  <c r="X199" s="102"/>
      <c r="Y199" s="102"/>
      <c r="Z199" s="102"/>
    </row>
    <row r="200" ht="15.75" customHeight="1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2"/>
    </row>
    <row r="201" ht="15.75" customHeight="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  <c r="X201" s="102"/>
      <c r="Y201" s="102"/>
      <c r="Z201" s="102"/>
    </row>
    <row r="202" ht="15.75" customHeight="1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  <c r="X202" s="102"/>
      <c r="Y202" s="102"/>
      <c r="Z202" s="102"/>
    </row>
    <row r="203" ht="15.75" customHeight="1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  <c r="X203" s="102"/>
      <c r="Y203" s="102"/>
      <c r="Z203" s="102"/>
    </row>
    <row r="204" ht="15.75" customHeight="1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  <c r="X204" s="102"/>
      <c r="Y204" s="102"/>
      <c r="Z204" s="102"/>
    </row>
    <row r="205" ht="15.75" customHeight="1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  <c r="X205" s="102"/>
      <c r="Y205" s="102"/>
      <c r="Z205" s="102"/>
    </row>
    <row r="206" ht="15.75" customHeight="1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  <c r="X206" s="102"/>
      <c r="Y206" s="102"/>
      <c r="Z206" s="102"/>
    </row>
    <row r="207" ht="15.75" customHeight="1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  <c r="X207" s="102"/>
      <c r="Y207" s="102"/>
      <c r="Z207" s="102"/>
    </row>
    <row r="208" ht="15.75" customHeight="1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  <c r="X208" s="102"/>
      <c r="Y208" s="102"/>
      <c r="Z208" s="102"/>
    </row>
    <row r="209" ht="15.75" customHeight="1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  <c r="X209" s="102"/>
      <c r="Y209" s="102"/>
      <c r="Z209" s="102"/>
    </row>
    <row r="210" ht="15.75" customHeight="1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  <c r="X210" s="102"/>
      <c r="Y210" s="102"/>
      <c r="Z210" s="102"/>
    </row>
    <row r="211" ht="15.75" customHeight="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  <c r="X211" s="102"/>
      <c r="Y211" s="102"/>
      <c r="Z211" s="102"/>
    </row>
    <row r="212" ht="15.75" customHeight="1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  <c r="X212" s="102"/>
      <c r="Y212" s="102"/>
      <c r="Z212" s="102"/>
    </row>
    <row r="213" ht="15.75" customHeight="1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  <c r="X213" s="102"/>
      <c r="Y213" s="102"/>
      <c r="Z213" s="102"/>
    </row>
    <row r="214" ht="15.75" customHeight="1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  <c r="X214" s="102"/>
      <c r="Y214" s="102"/>
      <c r="Z214" s="102"/>
    </row>
    <row r="215" ht="15.75" customHeight="1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  <c r="X215" s="102"/>
      <c r="Y215" s="102"/>
      <c r="Z215" s="102"/>
    </row>
    <row r="216" ht="15.75" customHeight="1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  <c r="X216" s="102"/>
      <c r="Y216" s="102"/>
      <c r="Z216" s="102"/>
    </row>
    <row r="217" ht="15.75" customHeight="1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  <c r="X217" s="102"/>
      <c r="Y217" s="102"/>
      <c r="Z217" s="102"/>
    </row>
    <row r="218" ht="15.75" customHeight="1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  <c r="X218" s="102"/>
      <c r="Y218" s="102"/>
      <c r="Z218" s="102"/>
    </row>
    <row r="219" ht="15.75" customHeight="1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  <c r="X219" s="102"/>
      <c r="Y219" s="102"/>
      <c r="Z219" s="102"/>
    </row>
    <row r="220" ht="15.75" customHeight="1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  <c r="X220" s="102"/>
      <c r="Y220" s="102"/>
      <c r="Z220" s="102"/>
    </row>
    <row r="221" ht="15.75" customHeight="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  <c r="X221" s="102"/>
      <c r="Y221" s="102"/>
      <c r="Z221" s="102"/>
    </row>
    <row r="222" ht="15.75" customHeight="1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  <c r="X222" s="102"/>
      <c r="Y222" s="102"/>
      <c r="Z222" s="102"/>
    </row>
    <row r="223" ht="15.75" customHeight="1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  <c r="X223" s="102"/>
      <c r="Y223" s="102"/>
      <c r="Z223" s="102"/>
    </row>
    <row r="224" ht="15.75" customHeight="1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  <c r="Y224" s="102"/>
      <c r="Z224" s="102"/>
    </row>
    <row r="225" ht="15.75" customHeight="1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  <c r="Y225" s="102"/>
      <c r="Z225" s="102"/>
    </row>
    <row r="226" ht="15.75" customHeight="1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  <c r="X226" s="102"/>
      <c r="Y226" s="102"/>
      <c r="Z226" s="102"/>
    </row>
    <row r="227" ht="15.75" customHeight="1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  <c r="X227" s="102"/>
      <c r="Y227" s="102"/>
      <c r="Z227" s="102"/>
    </row>
    <row r="228" ht="15.75" customHeight="1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  <c r="X228" s="102"/>
      <c r="Y228" s="102"/>
      <c r="Z228" s="102"/>
    </row>
    <row r="229" ht="15.75" customHeight="1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  <c r="X229" s="102"/>
      <c r="Y229" s="102"/>
      <c r="Z229" s="102"/>
    </row>
    <row r="230" ht="15.75" customHeight="1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  <c r="X230" s="102"/>
      <c r="Y230" s="102"/>
      <c r="Z230" s="102"/>
    </row>
    <row r="231" ht="15.75" customHeight="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  <c r="X231" s="102"/>
      <c r="Y231" s="102"/>
      <c r="Z231" s="102"/>
    </row>
    <row r="232" ht="15.75" customHeight="1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  <c r="X232" s="102"/>
      <c r="Y232" s="102"/>
      <c r="Z232" s="102"/>
    </row>
    <row r="233" ht="15.75" customHeight="1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  <c r="X233" s="102"/>
      <c r="Y233" s="102"/>
      <c r="Z233" s="102"/>
    </row>
    <row r="234" ht="15.75" customHeight="1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  <c r="X234" s="102"/>
      <c r="Y234" s="102"/>
      <c r="Z234" s="102"/>
    </row>
    <row r="235" ht="15.75" customHeight="1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  <c r="X235" s="102"/>
      <c r="Y235" s="102"/>
      <c r="Z235" s="102"/>
    </row>
    <row r="236" ht="15.75" customHeight="1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  <c r="X236" s="102"/>
      <c r="Y236" s="102"/>
      <c r="Z236" s="102"/>
    </row>
    <row r="237" ht="15.75" customHeight="1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  <c r="X237" s="102"/>
      <c r="Y237" s="102"/>
      <c r="Z237" s="102"/>
    </row>
    <row r="238" ht="15.75" customHeight="1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  <c r="X238" s="102"/>
      <c r="Y238" s="102"/>
      <c r="Z238" s="102"/>
    </row>
    <row r="239" ht="15.75" customHeight="1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  <c r="X239" s="102"/>
      <c r="Y239" s="102"/>
      <c r="Z239" s="102"/>
    </row>
    <row r="240" ht="15.75" customHeight="1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  <c r="X240" s="102"/>
      <c r="Y240" s="102"/>
      <c r="Z240" s="102"/>
    </row>
    <row r="241" ht="15.75" customHeight="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  <c r="X241" s="102"/>
      <c r="Y241" s="102"/>
      <c r="Z241" s="102"/>
    </row>
    <row r="242" ht="15.75" customHeight="1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  <c r="X242" s="102"/>
      <c r="Y242" s="102"/>
      <c r="Z242" s="102"/>
    </row>
    <row r="243" ht="15.75" customHeight="1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  <c r="X244" s="102"/>
      <c r="Y244" s="102"/>
      <c r="Z244" s="102"/>
    </row>
    <row r="245" ht="15.75" customHeight="1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  <c r="X245" s="102"/>
      <c r="Y245" s="102"/>
      <c r="Z245" s="102"/>
    </row>
    <row r="246" ht="15.75" customHeight="1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  <c r="X246" s="102"/>
      <c r="Y246" s="102"/>
      <c r="Z246" s="102"/>
    </row>
    <row r="247" ht="15.75" customHeight="1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  <c r="X247" s="102"/>
      <c r="Y247" s="102"/>
      <c r="Z247" s="102"/>
    </row>
    <row r="248" ht="15.75" customHeight="1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  <c r="X248" s="102"/>
      <c r="Y248" s="102"/>
      <c r="Z248" s="102"/>
    </row>
    <row r="249" ht="15.75" customHeight="1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  <c r="X249" s="102"/>
      <c r="Y249" s="102"/>
      <c r="Z249" s="102"/>
    </row>
    <row r="250" ht="15.75" customHeight="1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</row>
    <row r="251" ht="15.75" customHeight="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  <c r="X251" s="102"/>
      <c r="Y251" s="102"/>
      <c r="Z251" s="102"/>
    </row>
    <row r="252" ht="15.75" customHeight="1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  <c r="X252" s="102"/>
      <c r="Y252" s="102"/>
      <c r="Z252" s="102"/>
    </row>
    <row r="253" ht="15.75" customHeight="1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  <c r="X253" s="102"/>
      <c r="Y253" s="102"/>
      <c r="Z253" s="102"/>
    </row>
    <row r="254" ht="15.75" customHeight="1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  <c r="X254" s="102"/>
      <c r="Y254" s="102"/>
      <c r="Z254" s="102"/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13.88"/>
    <col customWidth="1" min="2" max="2" width="12.38"/>
    <col customWidth="1" min="3" max="3" width="33.5"/>
    <col customWidth="1" min="4" max="4" width="12.63"/>
    <col customWidth="1" min="5" max="5" width="13.38"/>
    <col customWidth="1" hidden="1" min="6" max="6" width="12.63"/>
    <col customWidth="1" hidden="1" min="7" max="7" width="13.5"/>
    <col customWidth="1" min="8" max="8" width="13.38"/>
    <col customWidth="1" min="9" max="9" width="16.13"/>
    <col customWidth="1" min="10" max="11" width="16.0"/>
    <col customWidth="1" min="12" max="12" width="15.13"/>
    <col customWidth="1" min="13" max="13" width="17.0"/>
  </cols>
  <sheetData>
    <row r="1" ht="26.25" customHeight="1">
      <c r="A1" s="158" t="s">
        <v>96</v>
      </c>
      <c r="C1" s="159"/>
      <c r="D1" s="159"/>
      <c r="E1" s="159"/>
      <c r="F1" s="159"/>
      <c r="G1" s="160"/>
      <c r="H1" s="161" t="s">
        <v>97</v>
      </c>
      <c r="I1" s="160"/>
      <c r="J1" s="159"/>
      <c r="K1" s="159"/>
      <c r="L1" s="159"/>
      <c r="M1" s="159"/>
    </row>
    <row r="2">
      <c r="B2" s="159"/>
      <c r="C2" s="159"/>
      <c r="D2" s="159"/>
      <c r="E2" s="159"/>
      <c r="F2" s="159"/>
      <c r="G2" s="159"/>
      <c r="H2" s="162" t="s">
        <v>98</v>
      </c>
      <c r="I2" s="159"/>
      <c r="J2" s="159"/>
      <c r="K2" s="159"/>
      <c r="L2" s="159"/>
      <c r="M2" s="159"/>
    </row>
    <row r="3">
      <c r="A3" s="163" t="s">
        <v>99</v>
      </c>
      <c r="B3" s="163"/>
      <c r="C3" s="163"/>
      <c r="D3" s="163"/>
      <c r="E3" s="163"/>
      <c r="F3" s="164">
        <f t="shared" ref="F3:M3" si="1">F4+543</f>
        <v>2565</v>
      </c>
      <c r="G3" s="164">
        <f t="shared" si="1"/>
        <v>2566</v>
      </c>
      <c r="H3" s="165">
        <f t="shared" si="1"/>
        <v>2567</v>
      </c>
      <c r="I3" s="164">
        <f t="shared" si="1"/>
        <v>2568</v>
      </c>
      <c r="J3" s="164">
        <f t="shared" si="1"/>
        <v>2569</v>
      </c>
      <c r="K3" s="164">
        <f t="shared" si="1"/>
        <v>2570</v>
      </c>
      <c r="L3" s="164">
        <f t="shared" si="1"/>
        <v>2571</v>
      </c>
      <c r="M3" s="164">
        <f t="shared" si="1"/>
        <v>2572</v>
      </c>
    </row>
    <row r="4">
      <c r="A4" s="166" t="s">
        <v>100</v>
      </c>
      <c r="B4" s="166"/>
      <c r="C4" s="166"/>
      <c r="D4" s="166"/>
      <c r="E4" s="166"/>
      <c r="F4" s="164">
        <f t="shared" ref="F4:M4" si="2">YEAR(F6)</f>
        <v>2022</v>
      </c>
      <c r="G4" s="164">
        <f t="shared" si="2"/>
        <v>2023</v>
      </c>
      <c r="H4" s="165">
        <f t="shared" si="2"/>
        <v>2024</v>
      </c>
      <c r="I4" s="164">
        <f t="shared" si="2"/>
        <v>2025</v>
      </c>
      <c r="J4" s="164">
        <f t="shared" si="2"/>
        <v>2026</v>
      </c>
      <c r="K4" s="164">
        <f t="shared" si="2"/>
        <v>2027</v>
      </c>
      <c r="L4" s="164">
        <f t="shared" si="2"/>
        <v>2028</v>
      </c>
      <c r="M4" s="164">
        <f t="shared" si="2"/>
        <v>2029</v>
      </c>
    </row>
    <row r="5">
      <c r="A5" s="167" t="s">
        <v>101</v>
      </c>
      <c r="B5" s="166"/>
      <c r="C5" s="166"/>
      <c r="D5" s="167" t="s">
        <v>102</v>
      </c>
      <c r="E5" s="167" t="s">
        <v>103</v>
      </c>
      <c r="F5" s="167">
        <v>0.0</v>
      </c>
      <c r="G5" s="167">
        <v>0.0</v>
      </c>
      <c r="H5" s="168">
        <v>0.0</v>
      </c>
      <c r="I5" s="167">
        <f t="shared" ref="I5:M5" si="3">H5+1</f>
        <v>1</v>
      </c>
      <c r="J5" s="167">
        <f t="shared" si="3"/>
        <v>2</v>
      </c>
      <c r="K5" s="167">
        <f t="shared" si="3"/>
        <v>3</v>
      </c>
      <c r="L5" s="167">
        <f t="shared" si="3"/>
        <v>4</v>
      </c>
      <c r="M5" s="167">
        <f t="shared" si="3"/>
        <v>5</v>
      </c>
    </row>
    <row r="6">
      <c r="A6" s="169"/>
      <c r="B6" s="169"/>
      <c r="C6" s="169" t="s">
        <v>104</v>
      </c>
      <c r="D6" s="169"/>
      <c r="E6" s="169"/>
      <c r="F6" s="170">
        <v>44562.0</v>
      </c>
      <c r="G6" s="171">
        <f t="shared" ref="G6:M6" si="4">F7+1</f>
        <v>44927</v>
      </c>
      <c r="H6" s="172">
        <f t="shared" si="4"/>
        <v>45292</v>
      </c>
      <c r="I6" s="170">
        <f t="shared" si="4"/>
        <v>45658</v>
      </c>
      <c r="J6" s="170">
        <f t="shared" si="4"/>
        <v>46023</v>
      </c>
      <c r="K6" s="170">
        <f t="shared" si="4"/>
        <v>46388</v>
      </c>
      <c r="L6" s="170">
        <f t="shared" si="4"/>
        <v>46753</v>
      </c>
      <c r="M6" s="170">
        <f t="shared" si="4"/>
        <v>47119</v>
      </c>
    </row>
    <row r="7">
      <c r="A7" s="169"/>
      <c r="B7" s="169"/>
      <c r="C7" s="169" t="s">
        <v>105</v>
      </c>
      <c r="D7" s="169"/>
      <c r="E7" s="169"/>
      <c r="F7" s="170">
        <f t="shared" ref="F7:M7" si="5">eomonth(F6,11)</f>
        <v>44926</v>
      </c>
      <c r="G7" s="171">
        <f t="shared" si="5"/>
        <v>45291</v>
      </c>
      <c r="H7" s="172">
        <f t="shared" si="5"/>
        <v>45657</v>
      </c>
      <c r="I7" s="170">
        <f t="shared" si="5"/>
        <v>46022</v>
      </c>
      <c r="J7" s="170">
        <f t="shared" si="5"/>
        <v>46387</v>
      </c>
      <c r="K7" s="170">
        <f t="shared" si="5"/>
        <v>46752</v>
      </c>
      <c r="L7" s="170">
        <f t="shared" si="5"/>
        <v>47118</v>
      </c>
      <c r="M7" s="170">
        <f t="shared" si="5"/>
        <v>47483</v>
      </c>
    </row>
    <row r="8">
      <c r="A8" s="173" t="s">
        <v>106</v>
      </c>
      <c r="B8" s="169"/>
      <c r="C8" s="169"/>
      <c r="D8" s="169"/>
      <c r="E8" s="169"/>
      <c r="F8" s="169"/>
      <c r="G8" s="174"/>
      <c r="H8" s="175"/>
      <c r="I8" s="169"/>
      <c r="J8" s="169"/>
      <c r="K8" s="169"/>
      <c r="L8" s="169"/>
      <c r="M8" s="169"/>
    </row>
    <row r="9">
      <c r="A9" s="176"/>
      <c r="B9" s="176"/>
      <c r="C9" s="176" t="s">
        <v>107</v>
      </c>
      <c r="D9" s="177" t="s">
        <v>108</v>
      </c>
      <c r="E9" s="178">
        <v>0.05</v>
      </c>
      <c r="F9" s="176"/>
      <c r="G9" s="179">
        <f t="shared" ref="G9:M9" si="6">$E9</f>
        <v>0.05</v>
      </c>
      <c r="H9" s="180">
        <f t="shared" si="6"/>
        <v>0.05</v>
      </c>
      <c r="I9" s="181">
        <f t="shared" si="6"/>
        <v>0.05</v>
      </c>
      <c r="J9" s="181">
        <f t="shared" si="6"/>
        <v>0.05</v>
      </c>
      <c r="K9" s="181">
        <f t="shared" si="6"/>
        <v>0.05</v>
      </c>
      <c r="L9" s="181">
        <f t="shared" si="6"/>
        <v>0.05</v>
      </c>
      <c r="M9" s="181">
        <f t="shared" si="6"/>
        <v>0.05</v>
      </c>
    </row>
    <row r="10">
      <c r="A10" s="176"/>
      <c r="B10" s="176"/>
      <c r="C10" s="176" t="s">
        <v>109</v>
      </c>
      <c r="D10" s="182" t="s">
        <v>108</v>
      </c>
      <c r="E10" s="183">
        <v>0.05</v>
      </c>
      <c r="F10" s="184"/>
      <c r="G10" s="185"/>
      <c r="H10" s="186"/>
      <c r="I10" s="186">
        <f t="shared" ref="I10:M10" si="7">$E10</f>
        <v>0.05</v>
      </c>
      <c r="J10" s="186">
        <f t="shared" si="7"/>
        <v>0.05</v>
      </c>
      <c r="K10" s="186">
        <f t="shared" si="7"/>
        <v>0.05</v>
      </c>
      <c r="L10" s="186">
        <f t="shared" si="7"/>
        <v>0.05</v>
      </c>
      <c r="M10" s="186">
        <f t="shared" si="7"/>
        <v>0.05</v>
      </c>
    </row>
    <row r="11">
      <c r="A11" s="187" t="s">
        <v>110</v>
      </c>
      <c r="B11" s="188"/>
      <c r="C11" s="188"/>
      <c r="D11" s="169"/>
      <c r="F11" s="169"/>
      <c r="G11" s="174"/>
      <c r="H11" s="175"/>
      <c r="I11" s="169"/>
      <c r="J11" s="169"/>
      <c r="K11" s="169"/>
      <c r="L11" s="169"/>
      <c r="M11" s="169"/>
    </row>
    <row r="12">
      <c r="A12" s="189"/>
      <c r="B12" s="190" t="s">
        <v>111</v>
      </c>
      <c r="C12" s="190"/>
      <c r="D12" s="190"/>
      <c r="E12" s="191"/>
      <c r="F12" s="192"/>
      <c r="G12" s="193"/>
      <c r="H12" s="194"/>
      <c r="J12" s="192"/>
      <c r="K12" s="192"/>
      <c r="L12" s="192"/>
      <c r="M12" s="192"/>
    </row>
    <row r="13">
      <c r="A13" s="190"/>
      <c r="B13" s="190"/>
      <c r="C13" s="195" t="s">
        <v>112</v>
      </c>
      <c r="D13" s="196" t="s">
        <v>113</v>
      </c>
      <c r="E13" s="195"/>
      <c r="F13" s="197"/>
      <c r="G13" s="197">
        <v>8.480422409E7</v>
      </c>
      <c r="H13" s="198"/>
      <c r="I13" s="199">
        <f>if($A$1="Base",Scenario!J10*Scenario!J15,if($A$1="Best",Scenario!C10*Scenario!C15,if($A$1="Worst",Scenario!Q10*Scenario!Q15)))</f>
        <v>313200000</v>
      </c>
      <c r="J13" s="199">
        <f>if($A$1="Base",Scenario!K10*Scenario!K15,if($A$1="Best",Scenario!D10*Scenario!D15,if($A$1="Worst",Scenario!R10*Scenario!R15)))</f>
        <v>365400000</v>
      </c>
      <c r="K13" s="199">
        <f>if($A$1="Base",Scenario!L10*Scenario!L15,if($A$1="Best",Scenario!E10*Scenario!E15,if($A$1="Worst",Scenario!S10*Scenario!S15)))</f>
        <v>498771000</v>
      </c>
      <c r="L13" s="199">
        <f>if($A$1="Base",Scenario!M10*Scenario!M15,if($A$1="Best",Scenario!F10*Scenario!F15,if($A$1="Worst",Scenario!T10*Scenario!T15)))</f>
        <v>563994900</v>
      </c>
      <c r="M13" s="199">
        <f>if($A$1="Base",Scenario!N10*Scenario!N15,if($A$1="Best",Scenario!G10*Scenario!G15,if($A$1="Worst",Scenario!U10*Scenario!U15)))</f>
        <v>634494262.5</v>
      </c>
    </row>
    <row r="14" ht="15.75" customHeight="1">
      <c r="A14" s="200"/>
      <c r="B14" s="201"/>
      <c r="C14" s="202" t="s">
        <v>114</v>
      </c>
      <c r="D14" s="196" t="s">
        <v>115</v>
      </c>
      <c r="E14" s="203">
        <f>if($A$1="Best",Scenario!E$28,if($A$1="Base",Scenario!L$28,if(A1="Worst",Scenario!S$28)))</f>
        <v>0.2</v>
      </c>
      <c r="F14" s="204"/>
      <c r="G14" s="199">
        <v>0.0</v>
      </c>
      <c r="H14" s="205"/>
      <c r="I14" s="199">
        <f>if($A$1="Base",$E14*Scenario!J10,if($A$1="Best",$E14*Scenario!C10,if($A$1="Worst",$E14*Scenario!Q10)))</f>
        <v>21600000</v>
      </c>
      <c r="J14" s="199">
        <f>if($A$1="Base",$E14*Scenario!K10,if($A$1="Best",$E14*Scenario!D10,if($A$1="Worst",$E14*Scenario!R10)))</f>
        <v>24000000</v>
      </c>
      <c r="K14" s="199">
        <f>if($A$1="Base",$E14*Scenario!L10,if($A$1="Best",$E14*Scenario!E10,if($A$1="Worst",$E14*Scenario!S10)))</f>
        <v>31200000</v>
      </c>
      <c r="L14" s="199">
        <f>if($A$1="Base",$E14*Scenario!M10,if($A$1="Best",$E14*Scenario!F10,if($A$1="Worst",$E14*Scenario!T10)))</f>
        <v>33600000</v>
      </c>
      <c r="M14" s="199">
        <f>if($A$1="Base",$E14*Scenario!N10,if($A$1="Best",$E14*Scenario!G10,if($A$1="Worst",$E14*Scenario!U10)))</f>
        <v>36000000</v>
      </c>
    </row>
    <row r="15">
      <c r="A15" s="206"/>
      <c r="B15" s="206"/>
      <c r="C15" s="207" t="s">
        <v>116</v>
      </c>
      <c r="D15" s="208" t="s">
        <v>113</v>
      </c>
      <c r="E15" s="209"/>
      <c r="F15" s="210">
        <f>sum(F13)</f>
        <v>0</v>
      </c>
      <c r="G15" s="210">
        <f>sum(G13:G14)</f>
        <v>84804224.09</v>
      </c>
      <c r="H15" s="198"/>
      <c r="I15" s="210">
        <f t="shared" ref="I15:M15" si="8">sum(I13:I14)</f>
        <v>334800000</v>
      </c>
      <c r="J15" s="210">
        <f t="shared" si="8"/>
        <v>389400000</v>
      </c>
      <c r="K15" s="210">
        <f t="shared" si="8"/>
        <v>529971000</v>
      </c>
      <c r="L15" s="210">
        <f t="shared" si="8"/>
        <v>597594900</v>
      </c>
      <c r="M15" s="210">
        <f t="shared" si="8"/>
        <v>670494262.5</v>
      </c>
    </row>
    <row r="16">
      <c r="A16" s="211"/>
      <c r="B16" s="211"/>
      <c r="C16" s="212" t="s">
        <v>117</v>
      </c>
      <c r="D16" s="213" t="s">
        <v>108</v>
      </c>
      <c r="E16" s="214"/>
      <c r="F16" s="215"/>
      <c r="G16" s="214"/>
      <c r="H16" s="216"/>
      <c r="I16" s="214"/>
      <c r="J16" s="214">
        <f t="shared" ref="J16:M16" si="9">if(J15&lt;&gt;0,J15/I15-1,0)</f>
        <v>0.1630824373</v>
      </c>
      <c r="K16" s="214">
        <f t="shared" si="9"/>
        <v>0.3609938367</v>
      </c>
      <c r="L16" s="214">
        <f t="shared" si="9"/>
        <v>0.127599246</v>
      </c>
      <c r="M16" s="214">
        <f t="shared" si="9"/>
        <v>0.1219879261</v>
      </c>
    </row>
    <row r="17">
      <c r="A17" s="173"/>
      <c r="B17" s="169"/>
      <c r="C17" s="169"/>
      <c r="D17" s="169"/>
      <c r="E17" s="217"/>
      <c r="F17" s="169"/>
      <c r="G17" s="174"/>
      <c r="H17" s="175"/>
      <c r="I17" s="169"/>
      <c r="J17" s="169"/>
      <c r="K17" s="169"/>
      <c r="L17" s="169"/>
      <c r="M17" s="169"/>
    </row>
    <row r="18">
      <c r="A18" s="218"/>
      <c r="B18" s="190" t="s">
        <v>118</v>
      </c>
      <c r="C18" s="169"/>
      <c r="E18" s="217"/>
      <c r="F18" s="169"/>
      <c r="G18" s="174"/>
      <c r="H18" s="175"/>
    </row>
    <row r="19">
      <c r="A19" s="173"/>
      <c r="B19" s="169"/>
      <c r="C19" s="195" t="s">
        <v>112</v>
      </c>
      <c r="D19" s="196" t="s">
        <v>113</v>
      </c>
      <c r="E19" s="195"/>
      <c r="F19" s="219"/>
      <c r="G19" s="219"/>
      <c r="H19" s="220"/>
      <c r="I19" s="221">
        <f>if($A$1="Base",Scenario!J21*Scenario!J22,if($A1="Best",Scenario!C21*Scenario!C22,if($A$1="Worst",Scenario!Q21*Scenario!Q22)))</f>
        <v>7776000</v>
      </c>
      <c r="J19" s="221">
        <f>if($A$1="Base",Scenario!K21*Scenario!K22,if($A1="Best",Scenario!D21*Scenario!D22,if($A$1="Worst",Scenario!R21*Scenario!R22)))</f>
        <v>8640000</v>
      </c>
      <c r="K19" s="221">
        <f>if($A$1="Base",Scenario!L21*Scenario!L22,if($A1="Best",Scenario!E21*Scenario!E22,if($A$1="Worst",Scenario!S21*Scenario!S22)))</f>
        <v>11232000</v>
      </c>
      <c r="L19" s="221">
        <f>if($A$1="Base",Scenario!M21*Scenario!M22,if($A1="Best",Scenario!F21*Scenario!F22,if($A$1="Worst",Scenario!T21*Scenario!T22)))</f>
        <v>12096000</v>
      </c>
      <c r="M19" s="221">
        <f>if($A$1="Base",Scenario!N21*Scenario!N22,if($A1="Best",Scenario!G21*Scenario!G22,if($A$1="Worst",Scenario!U21*Scenario!U22)))</f>
        <v>12960000</v>
      </c>
    </row>
    <row r="20">
      <c r="A20" s="173"/>
      <c r="B20" s="169"/>
      <c r="C20" s="202" t="s">
        <v>114</v>
      </c>
      <c r="D20" s="196" t="s">
        <v>113</v>
      </c>
      <c r="E20" s="203">
        <f>if($A$1="Best",Scenario!E$28,if($A$1="Base",Scenario!L$28,if($A$1="Worst",Scenario!S$28)))</f>
        <v>0.2</v>
      </c>
      <c r="F20" s="219"/>
      <c r="G20" s="219"/>
      <c r="H20" s="220"/>
      <c r="I20" s="221">
        <f>if($A$1="Base",$E$20*Scenario!J21,if($A$1="Best",$E$20*Scenario!C21,if($A$1="Worst",$E$20*Scenario!Q21)))</f>
        <v>86400</v>
      </c>
      <c r="J20" s="221">
        <f>if($A$1="Base",$E$20*Scenario!K21,if($A$1="Best",$E$20*Scenario!D21,if($A$1="Worst",$E$20*Scenario!R21)))</f>
        <v>96000</v>
      </c>
      <c r="K20" s="221">
        <f>if($A$1="Base",$E$20*Scenario!L21,if($A$1="Best",$E$20*Scenario!E21,if($A$1="Worst",$E$20*Scenario!S21)))</f>
        <v>124800</v>
      </c>
      <c r="L20" s="221">
        <f>if($A$1="Base",$E$20*Scenario!M21,if($A$1="Best",$E$20*Scenario!F21,if($A$1="Worst",$E$20*Scenario!T21)))</f>
        <v>134400</v>
      </c>
      <c r="M20" s="221">
        <f>if($A$1="Base",$E$20*Scenario!N21,if($A$1="Best",$E$20*Scenario!G21,if($A$1="Worst",$E$20*Scenario!U21)))</f>
        <v>144000</v>
      </c>
    </row>
    <row r="21" ht="15.75" customHeight="1">
      <c r="A21" s="222"/>
      <c r="B21" s="223"/>
      <c r="C21" s="207" t="s">
        <v>116</v>
      </c>
      <c r="D21" s="208" t="s">
        <v>113</v>
      </c>
      <c r="E21" s="209"/>
      <c r="F21" s="207"/>
      <c r="G21" s="207"/>
      <c r="H21" s="220"/>
      <c r="I21" s="224">
        <f t="shared" ref="I21:M21" si="10">sum(I19:I20)</f>
        <v>7862400</v>
      </c>
      <c r="J21" s="224">
        <f t="shared" si="10"/>
        <v>8736000</v>
      </c>
      <c r="K21" s="224">
        <f t="shared" si="10"/>
        <v>11356800</v>
      </c>
      <c r="L21" s="224">
        <f t="shared" si="10"/>
        <v>12230400</v>
      </c>
      <c r="M21" s="224">
        <f t="shared" si="10"/>
        <v>13104000</v>
      </c>
    </row>
    <row r="22" ht="15.75" customHeight="1">
      <c r="A22" s="225"/>
      <c r="B22" s="226"/>
      <c r="C22" s="212" t="s">
        <v>117</v>
      </c>
      <c r="D22" s="213" t="s">
        <v>108</v>
      </c>
      <c r="E22" s="227"/>
      <c r="F22" s="212"/>
      <c r="G22" s="212"/>
      <c r="H22" s="220"/>
      <c r="I22" s="228"/>
      <c r="J22" s="214">
        <f t="shared" ref="J22:M22" si="11">if(J21&lt;&gt;0,J21/I21-1,0)</f>
        <v>0.1111111111</v>
      </c>
      <c r="K22" s="214">
        <f t="shared" si="11"/>
        <v>0.3</v>
      </c>
      <c r="L22" s="214">
        <f t="shared" si="11"/>
        <v>0.07692307692</v>
      </c>
      <c r="M22" s="214">
        <f t="shared" si="11"/>
        <v>0.07142857143</v>
      </c>
    </row>
    <row r="23" ht="15.75" customHeight="1">
      <c r="A23" s="173"/>
      <c r="B23" s="169"/>
      <c r="C23" s="169"/>
      <c r="D23" s="169"/>
      <c r="E23" s="217"/>
      <c r="F23" s="169"/>
      <c r="G23" s="174"/>
      <c r="H23" s="175"/>
      <c r="I23" s="229"/>
      <c r="J23" s="229"/>
      <c r="K23" s="229"/>
      <c r="L23" s="229"/>
      <c r="M23" s="229"/>
    </row>
    <row r="24" ht="15.75" customHeight="1">
      <c r="A24" s="218"/>
      <c r="B24" s="230" t="s">
        <v>119</v>
      </c>
      <c r="C24" s="169"/>
      <c r="D24" s="169"/>
      <c r="E24" s="217"/>
      <c r="F24" s="169"/>
      <c r="G24" s="174"/>
      <c r="H24" s="175"/>
      <c r="I24" s="229"/>
      <c r="J24" s="229"/>
      <c r="K24" s="229"/>
      <c r="L24" s="229"/>
      <c r="M24" s="229"/>
    </row>
    <row r="25" ht="15.75" customHeight="1">
      <c r="A25" s="173"/>
      <c r="B25" s="231"/>
      <c r="C25" s="232" t="s">
        <v>112</v>
      </c>
      <c r="D25" s="233" t="s">
        <v>113</v>
      </c>
      <c r="E25" s="232"/>
      <c r="F25" s="234"/>
      <c r="G25" s="234"/>
      <c r="H25" s="235"/>
      <c r="I25" s="236">
        <f>Data_Input!D28*Data_Input!$M$27</f>
        <v>121800000</v>
      </c>
      <c r="J25" s="236">
        <f>Data_Input!E28*Data_Input!$M$27</f>
        <v>139200000</v>
      </c>
      <c r="K25" s="236">
        <f>Data_Input!F28*Data_Input!$M$27</f>
        <v>156600000</v>
      </c>
      <c r="L25" s="236">
        <f>Data_Input!G28*Data_Input!$M$27</f>
        <v>174000000</v>
      </c>
      <c r="M25" s="236">
        <f>Data_Input!H28*Data_Input!$M$27</f>
        <v>208800000</v>
      </c>
    </row>
    <row r="26" ht="15.75" customHeight="1">
      <c r="A26" s="173"/>
      <c r="B26" s="231"/>
      <c r="C26" s="237" t="s">
        <v>114</v>
      </c>
      <c r="D26" s="233" t="s">
        <v>113</v>
      </c>
      <c r="E26" s="238">
        <f>if($A$1="Best",Scenario!E$28,if($A$1="Base",Scenario!L$28,if($A$1="Worst",Scenario!S$28)))</f>
        <v>0.2</v>
      </c>
      <c r="F26" s="234"/>
      <c r="G26" s="234"/>
      <c r="H26" s="235"/>
      <c r="I26" s="236">
        <f>$E$26*Data_Input!D28</f>
        <v>8400000</v>
      </c>
      <c r="J26" s="236">
        <f>$E$26*Data_Input!E28</f>
        <v>9600000</v>
      </c>
      <c r="K26" s="236">
        <f>$E$26*Data_Input!F28</f>
        <v>10800000</v>
      </c>
      <c r="L26" s="236">
        <f>$E$26*Data_Input!G28</f>
        <v>12000000</v>
      </c>
      <c r="M26" s="236">
        <f>$E$26*Data_Input!H28</f>
        <v>14400000</v>
      </c>
    </row>
    <row r="27" ht="15.75" customHeight="1">
      <c r="A27" s="222"/>
      <c r="B27" s="239"/>
      <c r="C27" s="240" t="s">
        <v>116</v>
      </c>
      <c r="D27" s="241" t="s">
        <v>113</v>
      </c>
      <c r="E27" s="242"/>
      <c r="F27" s="240"/>
      <c r="G27" s="240"/>
      <c r="H27" s="235"/>
      <c r="I27" s="243">
        <f t="shared" ref="I27:M27" si="12">sum(I25:I26)</f>
        <v>130200000</v>
      </c>
      <c r="J27" s="243">
        <f t="shared" si="12"/>
        <v>148800000</v>
      </c>
      <c r="K27" s="243">
        <f t="shared" si="12"/>
        <v>167400000</v>
      </c>
      <c r="L27" s="243">
        <f t="shared" si="12"/>
        <v>186000000</v>
      </c>
      <c r="M27" s="243">
        <f t="shared" si="12"/>
        <v>223200000</v>
      </c>
    </row>
    <row r="28" ht="15.75" customHeight="1">
      <c r="A28" s="225"/>
      <c r="B28" s="244"/>
      <c r="C28" s="245" t="s">
        <v>117</v>
      </c>
      <c r="D28" s="246" t="s">
        <v>108</v>
      </c>
      <c r="E28" s="247"/>
      <c r="F28" s="245"/>
      <c r="G28" s="245"/>
      <c r="H28" s="235"/>
      <c r="I28" s="248"/>
      <c r="J28" s="249">
        <f t="shared" ref="J28:M28" si="13">if(J27&lt;&gt;0,J27/I27-1,0)</f>
        <v>0.1428571429</v>
      </c>
      <c r="K28" s="249">
        <f t="shared" si="13"/>
        <v>0.125</v>
      </c>
      <c r="L28" s="249">
        <f t="shared" si="13"/>
        <v>0.1111111111</v>
      </c>
      <c r="M28" s="249">
        <f t="shared" si="13"/>
        <v>0.2</v>
      </c>
    </row>
    <row r="29" ht="15.75" customHeight="1">
      <c r="A29" s="173"/>
      <c r="B29" s="231"/>
      <c r="C29" s="169"/>
      <c r="D29" s="169"/>
      <c r="E29" s="217"/>
      <c r="F29" s="169"/>
      <c r="G29" s="174"/>
      <c r="H29" s="175"/>
      <c r="I29" s="229"/>
      <c r="J29" s="229"/>
      <c r="K29" s="229"/>
      <c r="L29" s="229"/>
      <c r="M29" s="229"/>
    </row>
    <row r="30" ht="15.75" customHeight="1">
      <c r="A30" s="218"/>
      <c r="B30" s="250" t="s">
        <v>64</v>
      </c>
      <c r="C30" s="169"/>
      <c r="D30" s="169"/>
      <c r="E30" s="217"/>
      <c r="F30" s="169"/>
      <c r="G30" s="174"/>
      <c r="H30" s="175"/>
      <c r="I30" s="169"/>
      <c r="J30" s="169"/>
      <c r="K30" s="169"/>
      <c r="L30" s="169"/>
      <c r="M30" s="169"/>
    </row>
    <row r="31" ht="15.75" customHeight="1">
      <c r="A31" s="173"/>
      <c r="B31" s="231"/>
      <c r="C31" s="232" t="s">
        <v>112</v>
      </c>
      <c r="D31" s="233" t="s">
        <v>113</v>
      </c>
      <c r="E31" s="232"/>
      <c r="F31" s="234"/>
      <c r="G31" s="234"/>
      <c r="H31" s="235"/>
      <c r="I31" s="236">
        <f>Data_Input!D40*Data_Input!D38</f>
        <v>48600000</v>
      </c>
      <c r="J31" s="236">
        <f>Data_Input!E40*Data_Input!E38</f>
        <v>61236000</v>
      </c>
      <c r="K31" s="236">
        <f>Data_Input!F40*Data_Input!F38</f>
        <v>80372250</v>
      </c>
      <c r="L31" s="236">
        <f>Data_Input!G40*Data_Input!G38</f>
        <v>95642977.5</v>
      </c>
      <c r="M31" s="236">
        <f>Data_Input!H40*Data_Input!H38</f>
        <v>118147207.5</v>
      </c>
    </row>
    <row r="32" ht="15.75" customHeight="1">
      <c r="A32" s="173"/>
      <c r="B32" s="231"/>
      <c r="C32" s="237" t="s">
        <v>114</v>
      </c>
      <c r="D32" s="233" t="s">
        <v>113</v>
      </c>
      <c r="E32" s="232">
        <f>Data_Input!$M$41</f>
        <v>0</v>
      </c>
      <c r="F32" s="234"/>
      <c r="G32" s="234"/>
      <c r="H32" s="235"/>
      <c r="I32" s="236">
        <f t="shared" ref="I32:M32" si="14">$E$32</f>
        <v>0</v>
      </c>
      <c r="J32" s="236">
        <f t="shared" si="14"/>
        <v>0</v>
      </c>
      <c r="K32" s="236">
        <f t="shared" si="14"/>
        <v>0</v>
      </c>
      <c r="L32" s="236">
        <f t="shared" si="14"/>
        <v>0</v>
      </c>
      <c r="M32" s="236">
        <f t="shared" si="14"/>
        <v>0</v>
      </c>
    </row>
    <row r="33" ht="15.75" customHeight="1">
      <c r="A33" s="222"/>
      <c r="B33" s="239"/>
      <c r="C33" s="240" t="s">
        <v>116</v>
      </c>
      <c r="D33" s="241" t="s">
        <v>113</v>
      </c>
      <c r="E33" s="242"/>
      <c r="F33" s="240"/>
      <c r="G33" s="240"/>
      <c r="H33" s="235"/>
      <c r="I33" s="243">
        <f t="shared" ref="I33:M33" si="15">sum(I31:I32)</f>
        <v>48600000</v>
      </c>
      <c r="J33" s="243">
        <f t="shared" si="15"/>
        <v>61236000</v>
      </c>
      <c r="K33" s="243">
        <f t="shared" si="15"/>
        <v>80372250</v>
      </c>
      <c r="L33" s="243">
        <f t="shared" si="15"/>
        <v>95642977.5</v>
      </c>
      <c r="M33" s="243">
        <f t="shared" si="15"/>
        <v>118147207.5</v>
      </c>
    </row>
    <row r="34" ht="15.75" customHeight="1">
      <c r="A34" s="225"/>
      <c r="B34" s="244"/>
      <c r="C34" s="245" t="s">
        <v>117</v>
      </c>
      <c r="D34" s="246" t="s">
        <v>108</v>
      </c>
      <c r="E34" s="247"/>
      <c r="F34" s="245"/>
      <c r="G34" s="245"/>
      <c r="H34" s="235"/>
      <c r="I34" s="248"/>
      <c r="J34" s="249">
        <f t="shared" ref="J34:M34" si="16">if(J33&lt;&gt;0,J33/I33-1,0)</f>
        <v>0.26</v>
      </c>
      <c r="K34" s="249">
        <f t="shared" si="16"/>
        <v>0.3125</v>
      </c>
      <c r="L34" s="249">
        <f t="shared" si="16"/>
        <v>0.19</v>
      </c>
      <c r="M34" s="249">
        <f t="shared" si="16"/>
        <v>0.2352941176</v>
      </c>
    </row>
    <row r="35" ht="15.75" customHeight="1">
      <c r="A35" s="173"/>
      <c r="B35" s="231"/>
      <c r="C35" s="234"/>
      <c r="D35" s="234"/>
      <c r="E35" s="232"/>
      <c r="F35" s="234"/>
      <c r="G35" s="234"/>
      <c r="H35" s="235"/>
      <c r="I35" s="236"/>
      <c r="J35" s="236"/>
      <c r="K35" s="236"/>
      <c r="L35" s="236"/>
      <c r="M35" s="236"/>
    </row>
    <row r="36" ht="15.75" customHeight="1">
      <c r="A36" s="218"/>
      <c r="B36" s="250" t="s">
        <v>67</v>
      </c>
      <c r="C36" s="169"/>
      <c r="D36" s="169"/>
      <c r="E36" s="217"/>
      <c r="F36" s="169"/>
      <c r="G36" s="174"/>
      <c r="H36" s="175"/>
      <c r="I36" s="229"/>
      <c r="J36" s="229"/>
      <c r="K36" s="229"/>
      <c r="L36" s="229"/>
      <c r="M36" s="229"/>
    </row>
    <row r="37" ht="15.75" customHeight="1">
      <c r="A37" s="173"/>
      <c r="B37" s="231"/>
      <c r="C37" s="232" t="s">
        <v>112</v>
      </c>
      <c r="D37" s="233" t="s">
        <v>113</v>
      </c>
      <c r="E37" s="232"/>
      <c r="F37" s="234"/>
      <c r="G37" s="234"/>
      <c r="H37" s="235"/>
      <c r="I37" s="236">
        <f>Data_Input!D47*Data_Input!D49</f>
        <v>0</v>
      </c>
      <c r="J37" s="236">
        <f>Data_Input!E47*Data_Input!E49</f>
        <v>0</v>
      </c>
      <c r="K37" s="236">
        <f>Data_Input!F47*Data_Input!F49</f>
        <v>0</v>
      </c>
      <c r="L37" s="236">
        <f>Data_Input!G47*Data_Input!G49</f>
        <v>0</v>
      </c>
      <c r="M37" s="236">
        <f>Data_Input!H47*Data_Input!H49</f>
        <v>0</v>
      </c>
    </row>
    <row r="38" ht="15.75" customHeight="1">
      <c r="A38" s="173"/>
      <c r="B38" s="231"/>
      <c r="C38" s="237" t="s">
        <v>114</v>
      </c>
      <c r="D38" s="233" t="s">
        <v>113</v>
      </c>
      <c r="E38" s="232">
        <f>Data_Input!$M$50</f>
        <v>0</v>
      </c>
      <c r="F38" s="234"/>
      <c r="G38" s="234"/>
      <c r="H38" s="235"/>
      <c r="I38" s="236">
        <f t="shared" ref="I38:M38" si="17">$E$38</f>
        <v>0</v>
      </c>
      <c r="J38" s="236">
        <f t="shared" si="17"/>
        <v>0</v>
      </c>
      <c r="K38" s="236">
        <f t="shared" si="17"/>
        <v>0</v>
      </c>
      <c r="L38" s="236">
        <f t="shared" si="17"/>
        <v>0</v>
      </c>
      <c r="M38" s="236">
        <f t="shared" si="17"/>
        <v>0</v>
      </c>
    </row>
    <row r="39" ht="15.75" customHeight="1">
      <c r="A39" s="222"/>
      <c r="B39" s="239"/>
      <c r="C39" s="240" t="s">
        <v>116</v>
      </c>
      <c r="D39" s="241" t="s">
        <v>113</v>
      </c>
      <c r="E39" s="242"/>
      <c r="F39" s="240"/>
      <c r="G39" s="240"/>
      <c r="H39" s="235"/>
      <c r="I39" s="243">
        <f t="shared" ref="I39:M39" si="18">sum(I37:I38)</f>
        <v>0</v>
      </c>
      <c r="J39" s="243">
        <f t="shared" si="18"/>
        <v>0</v>
      </c>
      <c r="K39" s="243">
        <f t="shared" si="18"/>
        <v>0</v>
      </c>
      <c r="L39" s="243">
        <f t="shared" si="18"/>
        <v>0</v>
      </c>
      <c r="M39" s="243">
        <f t="shared" si="18"/>
        <v>0</v>
      </c>
    </row>
    <row r="40" ht="15.75" customHeight="1">
      <c r="A40" s="225"/>
      <c r="B40" s="244"/>
      <c r="C40" s="245" t="s">
        <v>117</v>
      </c>
      <c r="D40" s="246" t="s">
        <v>108</v>
      </c>
      <c r="E40" s="247"/>
      <c r="F40" s="245"/>
      <c r="G40" s="245"/>
      <c r="H40" s="235"/>
      <c r="I40" s="248"/>
      <c r="J40" s="249">
        <f t="shared" ref="J40:M40" si="19">if(J39&lt;&gt;0,J39/I39-1,0)</f>
        <v>0</v>
      </c>
      <c r="K40" s="249">
        <f t="shared" si="19"/>
        <v>0</v>
      </c>
      <c r="L40" s="249">
        <f t="shared" si="19"/>
        <v>0</v>
      </c>
      <c r="M40" s="249">
        <f t="shared" si="19"/>
        <v>0</v>
      </c>
    </row>
    <row r="41" ht="15.75" customHeight="1">
      <c r="A41" s="173"/>
      <c r="B41" s="231"/>
      <c r="C41" s="169"/>
      <c r="D41" s="169"/>
      <c r="E41" s="217"/>
      <c r="F41" s="169"/>
      <c r="G41" s="174"/>
      <c r="H41" s="175"/>
      <c r="I41" s="229"/>
      <c r="J41" s="229"/>
      <c r="K41" s="229"/>
      <c r="L41" s="229"/>
      <c r="M41" s="229"/>
    </row>
    <row r="42" ht="15.75" customHeight="1">
      <c r="A42" s="218"/>
      <c r="B42" s="250" t="s">
        <v>69</v>
      </c>
      <c r="C42" s="169"/>
      <c r="D42" s="169"/>
      <c r="E42" s="217"/>
      <c r="F42" s="169"/>
      <c r="G42" s="174"/>
      <c r="H42" s="175"/>
      <c r="I42" s="229"/>
      <c r="J42" s="229"/>
      <c r="K42" s="229"/>
      <c r="L42" s="229"/>
      <c r="M42" s="229"/>
    </row>
    <row r="43" ht="15.75" customHeight="1">
      <c r="A43" s="173"/>
      <c r="B43" s="231"/>
      <c r="C43" s="232" t="s">
        <v>112</v>
      </c>
      <c r="D43" s="233" t="s">
        <v>113</v>
      </c>
      <c r="E43" s="232"/>
      <c r="F43" s="234"/>
      <c r="G43" s="234"/>
      <c r="H43" s="235"/>
      <c r="I43" s="236">
        <f>Data_Input!D57*Data_Input!D59</f>
        <v>184800000</v>
      </c>
      <c r="J43" s="236">
        <f>Data_Input!E57*Data_Input!E59</f>
        <v>194040000</v>
      </c>
      <c r="K43" s="236">
        <f>Data_Input!F57*Data_Input!F59</f>
        <v>203742000</v>
      </c>
      <c r="L43" s="236">
        <f>Data_Input!G57*Data_Input!G59</f>
        <v>213929100</v>
      </c>
      <c r="M43" s="236">
        <f>Data_Input!H57*Data_Input!H59</f>
        <v>224625555</v>
      </c>
    </row>
    <row r="44" ht="15.75" customHeight="1">
      <c r="A44" s="173"/>
      <c r="B44" s="231"/>
      <c r="C44" s="237" t="s">
        <v>114</v>
      </c>
      <c r="D44" s="233" t="s">
        <v>113</v>
      </c>
      <c r="E44" s="238">
        <f>if($A$1="Best",Scenario!E$28,if($A$1="Base",Scenario!L$28,if($A$1="Worst",Scenario!S$28)))</f>
        <v>0.2</v>
      </c>
      <c r="F44" s="234"/>
      <c r="G44" s="234"/>
      <c r="H44" s="235"/>
      <c r="I44" s="236">
        <f>Data_Input!D57*$E$44</f>
        <v>9600000</v>
      </c>
      <c r="J44" s="236">
        <f>Data_Input!E57*$E$44</f>
        <v>9600000</v>
      </c>
      <c r="K44" s="236">
        <f>Data_Input!F57*$E$44</f>
        <v>9600000</v>
      </c>
      <c r="L44" s="236">
        <f>Data_Input!G57*$E$44</f>
        <v>9600000</v>
      </c>
      <c r="M44" s="236">
        <f>Data_Input!H57*$E$44</f>
        <v>9600000</v>
      </c>
    </row>
    <row r="45" ht="15.75" customHeight="1">
      <c r="A45" s="222"/>
      <c r="B45" s="239"/>
      <c r="C45" s="240" t="s">
        <v>116</v>
      </c>
      <c r="D45" s="241" t="s">
        <v>113</v>
      </c>
      <c r="E45" s="242"/>
      <c r="F45" s="240"/>
      <c r="G45" s="240"/>
      <c r="H45" s="235"/>
      <c r="I45" s="243">
        <f t="shared" ref="I45:M45" si="20">sum(I43:I44)</f>
        <v>194400000</v>
      </c>
      <c r="J45" s="243">
        <f t="shared" si="20"/>
        <v>203640000</v>
      </c>
      <c r="K45" s="243">
        <f t="shared" si="20"/>
        <v>213342000</v>
      </c>
      <c r="L45" s="243">
        <f t="shared" si="20"/>
        <v>223529100</v>
      </c>
      <c r="M45" s="243">
        <f t="shared" si="20"/>
        <v>234225555</v>
      </c>
    </row>
    <row r="46" ht="15.75" customHeight="1">
      <c r="A46" s="225"/>
      <c r="B46" s="244"/>
      <c r="C46" s="245" t="s">
        <v>117</v>
      </c>
      <c r="D46" s="246" t="s">
        <v>108</v>
      </c>
      <c r="E46" s="247"/>
      <c r="F46" s="245"/>
      <c r="G46" s="245"/>
      <c r="H46" s="235"/>
      <c r="I46" s="248"/>
      <c r="J46" s="249">
        <f t="shared" ref="J46:M46" si="21">if(J45&lt;&gt;0,J45/I45-1,0)</f>
        <v>0.0475308642</v>
      </c>
      <c r="K46" s="249">
        <f t="shared" si="21"/>
        <v>0.04764289923</v>
      </c>
      <c r="L46" s="249">
        <f t="shared" si="21"/>
        <v>0.0477500914</v>
      </c>
      <c r="M46" s="249">
        <f t="shared" si="21"/>
        <v>0.04785262858</v>
      </c>
    </row>
    <row r="47" ht="15.75" customHeight="1">
      <c r="A47" s="173"/>
      <c r="B47" s="231"/>
      <c r="C47" s="169"/>
      <c r="D47" s="169"/>
      <c r="E47" s="217"/>
      <c r="F47" s="169"/>
      <c r="G47" s="174"/>
      <c r="H47" s="175"/>
      <c r="I47" s="229"/>
      <c r="J47" s="229"/>
      <c r="K47" s="229"/>
      <c r="L47" s="229"/>
      <c r="M47" s="229"/>
    </row>
    <row r="48" ht="15.75" customHeight="1">
      <c r="A48" s="218"/>
      <c r="B48" s="250" t="s">
        <v>71</v>
      </c>
      <c r="C48" s="169"/>
      <c r="D48" s="169"/>
      <c r="E48" s="217"/>
      <c r="F48" s="169"/>
      <c r="G48" s="174"/>
      <c r="H48" s="175"/>
      <c r="I48" s="229"/>
      <c r="J48" s="229"/>
      <c r="K48" s="229"/>
      <c r="L48" s="229"/>
      <c r="M48" s="229"/>
    </row>
    <row r="49" ht="15.75" customHeight="1">
      <c r="A49" s="173"/>
      <c r="B49" s="231"/>
      <c r="C49" s="232" t="s">
        <v>112</v>
      </c>
      <c r="D49" s="233" t="s">
        <v>113</v>
      </c>
      <c r="E49" s="232"/>
      <c r="F49" s="234"/>
      <c r="G49" s="234"/>
      <c r="H49" s="235"/>
      <c r="I49" s="236">
        <f>Data_Input!D66*Data_Input!D68</f>
        <v>120000000</v>
      </c>
      <c r="J49" s="236">
        <f>Data_Input!E66*Data_Input!E68</f>
        <v>240000000</v>
      </c>
      <c r="K49" s="236">
        <f>Data_Input!F66*Data_Input!F68</f>
        <v>420000000</v>
      </c>
      <c r="L49" s="236">
        <f>Data_Input!G66*Data_Input!G68</f>
        <v>600000000</v>
      </c>
      <c r="M49" s="236">
        <f>Data_Input!H66*Data_Input!H68</f>
        <v>750000000</v>
      </c>
    </row>
    <row r="50" ht="15.75" customHeight="1">
      <c r="A50" s="173"/>
      <c r="B50" s="231"/>
      <c r="C50" s="237" t="s">
        <v>114</v>
      </c>
      <c r="D50" s="233" t="s">
        <v>113</v>
      </c>
      <c r="E50" s="251">
        <f>if($A$1="Best",Scenario!E$29,if($A$1="Base",Scenario!L$29,if($A$1="Worst",Scenario!S$29)))</f>
        <v>1.15</v>
      </c>
      <c r="F50" s="234"/>
      <c r="G50" s="234"/>
      <c r="H50" s="235"/>
      <c r="I50" s="236">
        <f>Data_Input!D66*$E$50</f>
        <v>11040000</v>
      </c>
      <c r="J50" s="236">
        <f>Data_Input!E66*$E$50</f>
        <v>22080000</v>
      </c>
      <c r="K50" s="236">
        <f>Data_Input!F66*$E$50</f>
        <v>38640000</v>
      </c>
      <c r="L50" s="236">
        <f>Data_Input!G66*$E$50</f>
        <v>55200000</v>
      </c>
      <c r="M50" s="236">
        <f>Data_Input!H66*$E$50</f>
        <v>69000000</v>
      </c>
    </row>
    <row r="51" ht="15.75" customHeight="1">
      <c r="A51" s="222"/>
      <c r="B51" s="223"/>
      <c r="C51" s="240" t="s">
        <v>116</v>
      </c>
      <c r="D51" s="241" t="s">
        <v>113</v>
      </c>
      <c r="E51" s="242"/>
      <c r="F51" s="240"/>
      <c r="G51" s="240"/>
      <c r="H51" s="235"/>
      <c r="I51" s="243">
        <f t="shared" ref="I51:M51" si="22">sum(I49:I50)</f>
        <v>131040000</v>
      </c>
      <c r="J51" s="243">
        <f t="shared" si="22"/>
        <v>262080000</v>
      </c>
      <c r="K51" s="243">
        <f t="shared" si="22"/>
        <v>458640000</v>
      </c>
      <c r="L51" s="243">
        <f t="shared" si="22"/>
        <v>655200000</v>
      </c>
      <c r="M51" s="243">
        <f t="shared" si="22"/>
        <v>819000000</v>
      </c>
    </row>
    <row r="52" ht="15.75" customHeight="1">
      <c r="A52" s="225"/>
      <c r="B52" s="226"/>
      <c r="C52" s="245" t="s">
        <v>117</v>
      </c>
      <c r="D52" s="246" t="s">
        <v>108</v>
      </c>
      <c r="E52" s="247"/>
      <c r="F52" s="245"/>
      <c r="G52" s="245"/>
      <c r="H52" s="235"/>
      <c r="I52" s="248"/>
      <c r="J52" s="249">
        <f t="shared" ref="J52:M52" si="23">if(J51&lt;&gt;0,J51/I51-1,0)</f>
        <v>1</v>
      </c>
      <c r="K52" s="249">
        <f t="shared" si="23"/>
        <v>0.75</v>
      </c>
      <c r="L52" s="249">
        <f t="shared" si="23"/>
        <v>0.4285714286</v>
      </c>
      <c r="M52" s="249">
        <f t="shared" si="23"/>
        <v>0.25</v>
      </c>
    </row>
    <row r="53" ht="15.75" customHeight="1">
      <c r="A53" s="173"/>
      <c r="B53" s="169"/>
      <c r="C53" s="169"/>
      <c r="D53" s="169"/>
      <c r="E53" s="217"/>
      <c r="F53" s="169"/>
      <c r="G53" s="174"/>
      <c r="H53" s="175"/>
      <c r="I53" s="229"/>
      <c r="J53" s="229"/>
      <c r="K53" s="229"/>
      <c r="L53" s="229"/>
      <c r="M53" s="229"/>
    </row>
    <row r="54" ht="15.75" customHeight="1">
      <c r="A54" s="218"/>
      <c r="B54" s="250" t="s">
        <v>120</v>
      </c>
      <c r="C54" s="169"/>
      <c r="D54" s="169"/>
      <c r="E54" s="217"/>
      <c r="F54" s="169"/>
      <c r="G54" s="174"/>
      <c r="H54" s="175"/>
      <c r="I54" s="169"/>
      <c r="J54" s="169"/>
      <c r="K54" s="169"/>
      <c r="L54" s="169"/>
      <c r="M54" s="169"/>
    </row>
    <row r="55" ht="15.75" customHeight="1">
      <c r="A55" s="173"/>
      <c r="B55" s="231"/>
      <c r="C55" s="232" t="s">
        <v>112</v>
      </c>
      <c r="D55" s="233" t="s">
        <v>113</v>
      </c>
      <c r="E55" s="232"/>
      <c r="F55" s="234"/>
      <c r="G55" s="234"/>
      <c r="H55" s="235"/>
      <c r="I55" s="236">
        <f>Data_Input!D76*Data_Input!D78</f>
        <v>858000000</v>
      </c>
      <c r="J55" s="236">
        <f>Data_Input!E76*Data_Input!E78</f>
        <v>858000000</v>
      </c>
      <c r="K55" s="236">
        <f>Data_Input!F76*Data_Input!F78</f>
        <v>858000000</v>
      </c>
      <c r="L55" s="236">
        <f>Data_Input!G76*Data_Input!G78</f>
        <v>858000000</v>
      </c>
      <c r="M55" s="236">
        <f>Data_Input!H76*Data_Input!H78</f>
        <v>858000000</v>
      </c>
    </row>
    <row r="56" ht="15.75" customHeight="1">
      <c r="A56" s="173"/>
      <c r="B56" s="231"/>
      <c r="C56" s="237" t="s">
        <v>114</v>
      </c>
      <c r="D56" s="233" t="s">
        <v>113</v>
      </c>
      <c r="E56" s="251">
        <f>if($A$1="Best",Scenario!E$30,if($A$1="Base",Scenario!L$30,if($A$1="Worst",Scenario!S$30)))</f>
        <v>2</v>
      </c>
      <c r="F56" s="234"/>
      <c r="G56" s="234"/>
      <c r="H56" s="235"/>
      <c r="I56" s="236">
        <f>Data_Input!D76*$E$56</f>
        <v>26000000</v>
      </c>
      <c r="J56" s="236">
        <f>Data_Input!E76*$E$56</f>
        <v>26000000</v>
      </c>
      <c r="K56" s="236">
        <f>Data_Input!F76*$E$56</f>
        <v>26000000</v>
      </c>
      <c r="L56" s="236">
        <f>Data_Input!G76*$E$56</f>
        <v>26000000</v>
      </c>
      <c r="M56" s="236">
        <f>Data_Input!H76*$E$56</f>
        <v>26000000</v>
      </c>
    </row>
    <row r="57" ht="15.75" customHeight="1">
      <c r="A57" s="222"/>
      <c r="B57" s="223"/>
      <c r="C57" s="240" t="s">
        <v>116</v>
      </c>
      <c r="D57" s="241" t="s">
        <v>113</v>
      </c>
      <c r="E57" s="242"/>
      <c r="F57" s="240"/>
      <c r="G57" s="240"/>
      <c r="H57" s="235"/>
      <c r="I57" s="243">
        <f t="shared" ref="I57:M57" si="24">sum(I55:I56)</f>
        <v>884000000</v>
      </c>
      <c r="J57" s="243">
        <f t="shared" si="24"/>
        <v>884000000</v>
      </c>
      <c r="K57" s="243">
        <f t="shared" si="24"/>
        <v>884000000</v>
      </c>
      <c r="L57" s="243">
        <f t="shared" si="24"/>
        <v>884000000</v>
      </c>
      <c r="M57" s="243">
        <f t="shared" si="24"/>
        <v>884000000</v>
      </c>
    </row>
    <row r="58" ht="15.75" customHeight="1">
      <c r="A58" s="225"/>
      <c r="B58" s="226"/>
      <c r="C58" s="245" t="s">
        <v>117</v>
      </c>
      <c r="D58" s="246" t="s">
        <v>108</v>
      </c>
      <c r="E58" s="247"/>
      <c r="F58" s="245"/>
      <c r="G58" s="245"/>
      <c r="H58" s="235"/>
      <c r="I58" s="248"/>
      <c r="J58" s="249">
        <f t="shared" ref="J58:M58" si="25">if(J57&lt;&gt;0,J57/I57-1,0)</f>
        <v>0</v>
      </c>
      <c r="K58" s="249">
        <f t="shared" si="25"/>
        <v>0</v>
      </c>
      <c r="L58" s="249">
        <f t="shared" si="25"/>
        <v>0</v>
      </c>
      <c r="M58" s="249">
        <f t="shared" si="25"/>
        <v>0</v>
      </c>
    </row>
    <row r="59" ht="15.75" customHeight="1">
      <c r="A59" s="173"/>
      <c r="B59" s="169"/>
      <c r="C59" s="169"/>
      <c r="D59" s="169"/>
      <c r="E59" s="217"/>
      <c r="F59" s="169"/>
      <c r="G59" s="174"/>
      <c r="H59" s="175"/>
      <c r="I59" s="169"/>
      <c r="J59" s="169"/>
      <c r="K59" s="169"/>
      <c r="L59" s="169"/>
      <c r="M59" s="169"/>
    </row>
    <row r="60" ht="15.75" customHeight="1">
      <c r="A60" s="252"/>
      <c r="B60" s="252" t="s">
        <v>121</v>
      </c>
      <c r="C60" s="252"/>
      <c r="D60" s="252"/>
      <c r="E60" s="253"/>
      <c r="F60" s="252"/>
      <c r="G60" s="254"/>
      <c r="H60" s="255">
        <v>9.4270024317E8</v>
      </c>
      <c r="I60" s="253">
        <f t="shared" ref="I60:M60" si="26">sum(I15,I21,I27,I33,I39,I45,I51,I57)</f>
        <v>1730902400</v>
      </c>
      <c r="J60" s="253">
        <f t="shared" si="26"/>
        <v>1957892000</v>
      </c>
      <c r="K60" s="253">
        <f t="shared" si="26"/>
        <v>2345082050</v>
      </c>
      <c r="L60" s="253">
        <f t="shared" si="26"/>
        <v>2654197378</v>
      </c>
      <c r="M60" s="253">
        <f t="shared" si="26"/>
        <v>2962171025</v>
      </c>
    </row>
    <row r="61" ht="15.75" customHeight="1">
      <c r="A61" s="256"/>
      <c r="B61" s="257"/>
      <c r="C61" s="257" t="s">
        <v>122</v>
      </c>
      <c r="D61" s="257"/>
      <c r="E61" s="258"/>
      <c r="F61" s="257"/>
      <c r="G61" s="259"/>
      <c r="H61" s="260"/>
      <c r="I61" s="261">
        <f t="shared" ref="I61:M61" si="27">if(I60&lt;&gt;0,I60/H60-1,0)</f>
        <v>0.8361111207</v>
      </c>
      <c r="J61" s="261">
        <f t="shared" si="27"/>
        <v>0.1311394565</v>
      </c>
      <c r="K61" s="261">
        <f t="shared" si="27"/>
        <v>0.1977586353</v>
      </c>
      <c r="L61" s="261">
        <f t="shared" si="27"/>
        <v>0.1318142909</v>
      </c>
      <c r="M61" s="261">
        <f t="shared" si="27"/>
        <v>0.1160326847</v>
      </c>
    </row>
    <row r="62" ht="15.75" customHeight="1">
      <c r="A62" s="173" t="s">
        <v>123</v>
      </c>
      <c r="B62" s="169"/>
      <c r="C62" s="169"/>
      <c r="D62" s="169"/>
      <c r="E62" s="217"/>
      <c r="F62" s="169"/>
      <c r="G62" s="174"/>
      <c r="H62" s="175"/>
      <c r="I62" s="169"/>
      <c r="J62" s="169"/>
      <c r="K62" s="169"/>
      <c r="L62" s="169"/>
      <c r="M62" s="169"/>
    </row>
    <row r="63" ht="15.75" customHeight="1">
      <c r="A63" s="169"/>
      <c r="B63" s="173" t="s">
        <v>124</v>
      </c>
      <c r="C63" s="169"/>
      <c r="D63" s="169"/>
      <c r="E63" s="217"/>
      <c r="F63" s="169"/>
      <c r="G63" s="174"/>
      <c r="H63" s="175"/>
      <c r="I63" s="169"/>
      <c r="J63" s="169"/>
      <c r="K63" s="169"/>
      <c r="L63" s="169"/>
      <c r="M63" s="169"/>
    </row>
    <row r="64" ht="15.75" customHeight="1">
      <c r="A64" s="262"/>
      <c r="B64" s="262"/>
      <c r="C64" s="263" t="s">
        <v>125</v>
      </c>
      <c r="D64" s="264" t="s">
        <v>113</v>
      </c>
      <c r="E64" s="265"/>
      <c r="F64" s="262"/>
      <c r="G64" s="266">
        <v>-6.605428179E7</v>
      </c>
      <c r="H64" s="267">
        <v>-8.7285017955E8</v>
      </c>
      <c r="I64" s="268">
        <f>(Data_Input!D7*I71)+(Data_Input!D20*I77)+(Data_Input!D28*I83)+(Data_Input!D38*I89)+(Data_Input!D47*I95)+(Data_Input!D57*I101)+(Data_Input!D66*I107)+(Data_Input!D76*I113)</f>
        <v>-1592800000</v>
      </c>
      <c r="J64" s="268">
        <f>(Data_Input!E7*J71)+(Data_Input!E20*J77)+(Data_Input!E28*J83)+(Data_Input!E38*J89)+(Data_Input!E47*J95)+(Data_Input!E57*J101)+(Data_Input!E66*J107)+(Data_Input!E76*J113)</f>
        <v>-1843312000</v>
      </c>
      <c r="K64" s="268">
        <f>(Data_Input!F7*K71)+(Data_Input!F20*K77)+(Data_Input!F28*K83)+(Data_Input!F38*K89)+(Data_Input!F47*K95)+(Data_Input!F57*K101)+(Data_Input!F66*K107)+(Data_Input!F76*K113)</f>
        <v>-2170282750</v>
      </c>
      <c r="L64" s="268">
        <f>(Data_Input!G7*L71)+(Data_Input!G20*L77)+(Data_Input!G28*L83)+(Data_Input!G38*L89)+(Data_Input!G47*L95)+(Data_Input!G57*L101)+(Data_Input!G66*L107)+(Data_Input!G76*L113)</f>
        <v>-2424027528</v>
      </c>
      <c r="M64" s="268">
        <f>(Data_Input!H7*M71)+(Data_Input!H20*M77)+(Data_Input!H28*M83)+(Data_Input!H38*M89)+(Data_Input!H47*M95)+(Data_Input!H57*M101)+(Data_Input!H66*M107)+(Data_Input!H76*M113)</f>
        <v>-2678802588</v>
      </c>
    </row>
    <row r="65" ht="15.75" customHeight="1">
      <c r="A65" s="269"/>
      <c r="B65" s="269"/>
      <c r="C65" s="270" t="s">
        <v>126</v>
      </c>
      <c r="D65" s="271" t="s">
        <v>108</v>
      </c>
      <c r="E65" s="272"/>
      <c r="F65" s="269"/>
      <c r="G65" s="273">
        <f>-G64/G15</f>
        <v>0.7789032032</v>
      </c>
      <c r="H65" s="180">
        <f t="shared" ref="H65:M65" si="28">-H64/H60</f>
        <v>0.925904269</v>
      </c>
      <c r="I65" s="274">
        <f t="shared" si="28"/>
        <v>0.9202136412</v>
      </c>
      <c r="J65" s="274">
        <f t="shared" si="28"/>
        <v>0.9414778752</v>
      </c>
      <c r="K65" s="274">
        <f t="shared" si="28"/>
        <v>0.9254613287</v>
      </c>
      <c r="L65" s="274">
        <f t="shared" si="28"/>
        <v>0.9132808087</v>
      </c>
      <c r="M65" s="274">
        <f t="shared" si="28"/>
        <v>0.9043375838</v>
      </c>
    </row>
    <row r="66" ht="15.75" customHeight="1">
      <c r="A66" s="272"/>
      <c r="B66" s="272"/>
      <c r="C66" s="275" t="s">
        <v>127</v>
      </c>
      <c r="D66" s="275"/>
      <c r="E66" s="276"/>
      <c r="F66" s="272"/>
      <c r="G66" s="272"/>
      <c r="H66" s="276"/>
      <c r="I66" s="277">
        <f t="shared" ref="I66:M66" si="29">I65/H65-1</f>
        <v>-0.00614602183</v>
      </c>
      <c r="J66" s="277">
        <f t="shared" si="29"/>
        <v>0.02310793176</v>
      </c>
      <c r="K66" s="277">
        <f t="shared" si="29"/>
        <v>-0.01701213259</v>
      </c>
      <c r="L66" s="277">
        <f t="shared" si="29"/>
        <v>-0.01316156561</v>
      </c>
      <c r="M66" s="277">
        <f t="shared" si="29"/>
        <v>-0.0097924153</v>
      </c>
    </row>
    <row r="67" ht="15.75" customHeight="1">
      <c r="A67" s="278"/>
      <c r="C67" s="190" t="s">
        <v>111</v>
      </c>
      <c r="D67" s="200"/>
      <c r="E67" s="279"/>
      <c r="F67" s="200"/>
      <c r="G67" s="280"/>
      <c r="H67" s="180"/>
      <c r="I67" s="279"/>
      <c r="J67" s="279"/>
      <c r="K67" s="279"/>
      <c r="L67" s="279"/>
      <c r="M67" s="279"/>
    </row>
    <row r="68" ht="15.75" customHeight="1">
      <c r="A68" s="281"/>
      <c r="C68" s="282" t="s">
        <v>24</v>
      </c>
      <c r="D68" s="283" t="s">
        <v>115</v>
      </c>
      <c r="E68" s="282"/>
      <c r="F68" s="200"/>
      <c r="G68" s="280"/>
      <c r="H68" s="180"/>
      <c r="I68" s="282">
        <f>-Data_Input!D8</f>
        <v>-2.3</v>
      </c>
      <c r="J68" s="282">
        <f>-Data_Input!E8</f>
        <v>-2.415</v>
      </c>
      <c r="K68" s="282">
        <f>-Data_Input!F8</f>
        <v>-2.53575</v>
      </c>
      <c r="L68" s="282">
        <f>-Data_Input!G8</f>
        <v>-2.6625375</v>
      </c>
      <c r="M68" s="282">
        <f>-Data_Input!H8</f>
        <v>-2.795664375</v>
      </c>
    </row>
    <row r="69" ht="15.75" customHeight="1">
      <c r="A69" s="281"/>
      <c r="C69" s="282" t="s">
        <v>28</v>
      </c>
      <c r="D69" s="283" t="s">
        <v>115</v>
      </c>
      <c r="E69" s="282"/>
      <c r="F69" s="200"/>
      <c r="G69" s="280"/>
      <c r="H69" s="180"/>
      <c r="I69" s="282">
        <f>-Data_Input!D9</f>
        <v>-0.5</v>
      </c>
      <c r="J69" s="282">
        <f>-Data_Input!E9</f>
        <v>-0.525</v>
      </c>
      <c r="K69" s="282">
        <f>-Data_Input!F9</f>
        <v>-0.55125</v>
      </c>
      <c r="L69" s="282">
        <f>-Data_Input!G9</f>
        <v>-0.5788125</v>
      </c>
      <c r="M69" s="282">
        <f>-Data_Input!H9</f>
        <v>-0.607753125</v>
      </c>
    </row>
    <row r="70" ht="15.75" customHeight="1">
      <c r="A70" s="281"/>
      <c r="C70" s="282" t="s">
        <v>128</v>
      </c>
      <c r="D70" s="283" t="s">
        <v>115</v>
      </c>
      <c r="E70" s="282"/>
      <c r="F70" s="200"/>
      <c r="G70" s="280"/>
      <c r="H70" s="180"/>
      <c r="I70" s="282">
        <f>-Data_Input!D11</f>
        <v>-0.1</v>
      </c>
      <c r="J70" s="282">
        <f>-Data_Input!E11</f>
        <v>-0.105</v>
      </c>
      <c r="K70" s="282">
        <f>-Data_Input!F11</f>
        <v>-0.11025</v>
      </c>
      <c r="L70" s="282">
        <f>-Data_Input!G11</f>
        <v>-0.1157625</v>
      </c>
      <c r="M70" s="282">
        <f>-Data_Input!H11</f>
        <v>-0.121550625</v>
      </c>
    </row>
    <row r="71" ht="15.75" customHeight="1">
      <c r="A71" s="281"/>
      <c r="C71" s="282" t="s">
        <v>129</v>
      </c>
      <c r="D71" s="283" t="s">
        <v>115</v>
      </c>
      <c r="E71" s="282"/>
      <c r="F71" s="200"/>
      <c r="G71" s="280"/>
      <c r="H71" s="180"/>
      <c r="I71" s="282">
        <f t="shared" ref="I71:M71" si="30">sum(I68:I70)</f>
        <v>-2.9</v>
      </c>
      <c r="J71" s="282">
        <f t="shared" si="30"/>
        <v>-3.045</v>
      </c>
      <c r="K71" s="282">
        <f t="shared" si="30"/>
        <v>-3.19725</v>
      </c>
      <c r="L71" s="282">
        <f t="shared" si="30"/>
        <v>-3.3571125</v>
      </c>
      <c r="M71" s="282">
        <f t="shared" si="30"/>
        <v>-3.524968125</v>
      </c>
    </row>
    <row r="72" ht="15.75" customHeight="1">
      <c r="A72" s="281"/>
      <c r="C72" s="282" t="s">
        <v>130</v>
      </c>
      <c r="D72" s="283" t="s">
        <v>108</v>
      </c>
      <c r="E72" s="282"/>
      <c r="F72" s="200"/>
      <c r="G72" s="280"/>
      <c r="H72" s="180"/>
      <c r="I72" s="279"/>
      <c r="J72" s="284">
        <f t="shared" ref="J72:M72" si="31">J71/I71-1</f>
        <v>0.05</v>
      </c>
      <c r="K72" s="284">
        <f t="shared" si="31"/>
        <v>0.05</v>
      </c>
      <c r="L72" s="284">
        <f t="shared" si="31"/>
        <v>0.05</v>
      </c>
      <c r="M72" s="284">
        <f t="shared" si="31"/>
        <v>0.05</v>
      </c>
    </row>
    <row r="73" ht="15.75" customHeight="1">
      <c r="A73" s="218"/>
      <c r="C73" s="190" t="s">
        <v>118</v>
      </c>
      <c r="D73" s="200"/>
      <c r="E73" s="282"/>
      <c r="F73" s="200"/>
      <c r="G73" s="280"/>
      <c r="H73" s="180"/>
      <c r="I73" s="279"/>
      <c r="J73" s="279"/>
      <c r="K73" s="279"/>
      <c r="L73" s="279"/>
      <c r="M73" s="279"/>
    </row>
    <row r="74" ht="15.75" customHeight="1">
      <c r="A74" s="281"/>
      <c r="C74" s="282" t="s">
        <v>24</v>
      </c>
      <c r="D74" s="283" t="s">
        <v>115</v>
      </c>
      <c r="F74" s="200"/>
      <c r="G74" s="280"/>
      <c r="H74" s="180"/>
      <c r="I74" s="282">
        <v>0.0</v>
      </c>
      <c r="J74" s="282">
        <v>0.0</v>
      </c>
      <c r="K74" s="282">
        <v>0.0</v>
      </c>
      <c r="L74" s="282">
        <v>0.0</v>
      </c>
      <c r="M74" s="282">
        <v>0.0</v>
      </c>
    </row>
    <row r="75" ht="15.75" customHeight="1">
      <c r="A75" s="281"/>
      <c r="C75" s="282" t="s">
        <v>28</v>
      </c>
      <c r="D75" s="283" t="s">
        <v>115</v>
      </c>
      <c r="F75" s="200"/>
      <c r="G75" s="280"/>
      <c r="H75" s="180"/>
      <c r="I75" s="282">
        <v>0.0</v>
      </c>
      <c r="J75" s="282">
        <f t="shared" ref="J75:M75" si="32">If(I75&lt;&gt;0,I75*J78,0)</f>
        <v>0</v>
      </c>
      <c r="K75" s="282">
        <f t="shared" si="32"/>
        <v>0</v>
      </c>
      <c r="L75" s="282">
        <f t="shared" si="32"/>
        <v>0</v>
      </c>
      <c r="M75" s="282">
        <f t="shared" si="32"/>
        <v>0</v>
      </c>
    </row>
    <row r="76" ht="15.75" customHeight="1">
      <c r="A76" s="281"/>
      <c r="C76" s="282" t="s">
        <v>128</v>
      </c>
      <c r="D76" s="283" t="s">
        <v>115</v>
      </c>
      <c r="E76" s="282"/>
      <c r="F76" s="200"/>
      <c r="G76" s="280"/>
      <c r="H76" s="180"/>
      <c r="I76" s="282">
        <v>0.0</v>
      </c>
      <c r="J76" s="282">
        <f t="shared" ref="J76:M76" si="33">If(I76&lt;&gt;0,I76*J78,0)</f>
        <v>0</v>
      </c>
      <c r="K76" s="282">
        <f t="shared" si="33"/>
        <v>0</v>
      </c>
      <c r="L76" s="282">
        <f t="shared" si="33"/>
        <v>0</v>
      </c>
      <c r="M76" s="282">
        <f t="shared" si="33"/>
        <v>0</v>
      </c>
    </row>
    <row r="77" ht="15.75" customHeight="1">
      <c r="A77" s="281"/>
      <c r="C77" s="282" t="s">
        <v>129</v>
      </c>
      <c r="D77" s="283" t="s">
        <v>115</v>
      </c>
      <c r="E77" s="282"/>
      <c r="F77" s="200"/>
      <c r="G77" s="280"/>
      <c r="H77" s="180"/>
      <c r="I77" s="282">
        <v>0.0</v>
      </c>
      <c r="J77" s="282">
        <v>0.0</v>
      </c>
      <c r="K77" s="282">
        <v>0.0</v>
      </c>
      <c r="L77" s="282">
        <v>0.0</v>
      </c>
      <c r="M77" s="282">
        <v>0.0</v>
      </c>
    </row>
    <row r="78" ht="15.75" customHeight="1">
      <c r="A78" s="281"/>
      <c r="C78" s="282" t="s">
        <v>130</v>
      </c>
      <c r="D78" s="283" t="s">
        <v>108</v>
      </c>
      <c r="E78" s="282"/>
      <c r="F78" s="200"/>
      <c r="G78" s="280"/>
      <c r="H78" s="180"/>
      <c r="I78" s="282">
        <v>0.0</v>
      </c>
      <c r="J78" s="282">
        <v>0.0</v>
      </c>
      <c r="K78" s="282">
        <v>0.0</v>
      </c>
      <c r="L78" s="282">
        <v>0.0</v>
      </c>
      <c r="M78" s="282">
        <v>0.0</v>
      </c>
    </row>
    <row r="79" ht="15.75" customHeight="1">
      <c r="A79" s="218"/>
      <c r="C79" s="230" t="s">
        <v>119</v>
      </c>
      <c r="D79" s="200"/>
      <c r="E79" s="282"/>
      <c r="F79" s="200"/>
      <c r="G79" s="280"/>
      <c r="H79" s="180"/>
      <c r="I79" s="279"/>
      <c r="J79" s="279"/>
      <c r="K79" s="279"/>
      <c r="L79" s="279"/>
      <c r="M79" s="279"/>
    </row>
    <row r="80" ht="15.75" customHeight="1">
      <c r="A80" s="281"/>
      <c r="C80" s="282" t="s">
        <v>24</v>
      </c>
      <c r="D80" s="283" t="s">
        <v>115</v>
      </c>
      <c r="E80" s="282"/>
      <c r="F80" s="200"/>
      <c r="G80" s="280"/>
      <c r="H80" s="180"/>
      <c r="I80" s="282">
        <f>-Data_Input!D29</f>
        <v>-2.69</v>
      </c>
      <c r="J80" s="282">
        <f>-Data_Input!E29</f>
        <v>-2.825</v>
      </c>
      <c r="K80" s="282">
        <f>-Data_Input!F29</f>
        <v>-2.96675</v>
      </c>
      <c r="L80" s="282">
        <f>-Data_Input!G29</f>
        <v>-3.1155875</v>
      </c>
      <c r="M80" s="282">
        <f>-Data_Input!H29</f>
        <v>-3.271866875</v>
      </c>
    </row>
    <row r="81" ht="15.75" customHeight="1">
      <c r="A81" s="281"/>
      <c r="C81" s="282" t="s">
        <v>28</v>
      </c>
      <c r="D81" s="283" t="s">
        <v>115</v>
      </c>
      <c r="E81" s="282"/>
      <c r="F81" s="200"/>
      <c r="G81" s="280"/>
      <c r="H81" s="180"/>
      <c r="I81" s="282">
        <f>-Data_Input!$M$28</f>
        <v>0</v>
      </c>
      <c r="J81" s="282">
        <f t="shared" ref="J81:M81" si="34">If(I81&lt;&gt;0,I81*J84,0)</f>
        <v>0</v>
      </c>
      <c r="K81" s="282">
        <f t="shared" si="34"/>
        <v>0</v>
      </c>
      <c r="L81" s="282">
        <f t="shared" si="34"/>
        <v>0</v>
      </c>
      <c r="M81" s="282">
        <f t="shared" si="34"/>
        <v>0</v>
      </c>
    </row>
    <row r="82" ht="15.75" customHeight="1">
      <c r="A82" s="281"/>
      <c r="C82" s="282" t="s">
        <v>128</v>
      </c>
      <c r="D82" s="283" t="s">
        <v>115</v>
      </c>
      <c r="E82" s="282"/>
      <c r="F82" s="200"/>
      <c r="G82" s="280"/>
      <c r="H82" s="180"/>
      <c r="I82" s="282">
        <v>0.0</v>
      </c>
      <c r="J82" s="282">
        <f t="shared" ref="J82:M82" si="35">-If(I82&lt;&gt;0,I82*J84,0)</f>
        <v>0</v>
      </c>
      <c r="K82" s="282">
        <f t="shared" si="35"/>
        <v>0</v>
      </c>
      <c r="L82" s="282">
        <f t="shared" si="35"/>
        <v>0</v>
      </c>
      <c r="M82" s="282">
        <f t="shared" si="35"/>
        <v>0</v>
      </c>
    </row>
    <row r="83" ht="15.75" customHeight="1">
      <c r="A83" s="281"/>
      <c r="C83" s="282" t="s">
        <v>129</v>
      </c>
      <c r="D83" s="283" t="s">
        <v>115</v>
      </c>
      <c r="E83" s="282"/>
      <c r="F83" s="200"/>
      <c r="G83" s="280"/>
      <c r="H83" s="180"/>
      <c r="I83" s="282">
        <f t="shared" ref="I83:M83" si="36">sum(I80:I82)</f>
        <v>-2.69</v>
      </c>
      <c r="J83" s="282">
        <f t="shared" si="36"/>
        <v>-2.825</v>
      </c>
      <c r="K83" s="282">
        <f t="shared" si="36"/>
        <v>-2.96675</v>
      </c>
      <c r="L83" s="282">
        <f t="shared" si="36"/>
        <v>-3.1155875</v>
      </c>
      <c r="M83" s="282">
        <f t="shared" si="36"/>
        <v>-3.271866875</v>
      </c>
    </row>
    <row r="84" ht="15.75" customHeight="1">
      <c r="A84" s="281"/>
      <c r="C84" s="282" t="s">
        <v>130</v>
      </c>
      <c r="D84" s="283" t="s">
        <v>108</v>
      </c>
      <c r="E84" s="282"/>
      <c r="F84" s="200"/>
      <c r="G84" s="280"/>
      <c r="H84" s="180"/>
      <c r="I84" s="279"/>
      <c r="J84" s="284">
        <f t="shared" ref="J84:M84" si="37">J83/I83-1</f>
        <v>0.05018587361</v>
      </c>
      <c r="K84" s="284">
        <f t="shared" si="37"/>
        <v>0.05017699115</v>
      </c>
      <c r="L84" s="284">
        <f t="shared" si="37"/>
        <v>0.05016853459</v>
      </c>
      <c r="M84" s="284">
        <f t="shared" si="37"/>
        <v>0.05016048338</v>
      </c>
    </row>
    <row r="85" ht="15.75" customHeight="1">
      <c r="A85" s="218"/>
      <c r="C85" s="250" t="s">
        <v>64</v>
      </c>
      <c r="D85" s="200"/>
      <c r="E85" s="282"/>
      <c r="F85" s="200"/>
      <c r="G85" s="280"/>
      <c r="H85" s="180"/>
      <c r="I85" s="279"/>
      <c r="J85" s="279"/>
      <c r="K85" s="279"/>
      <c r="L85" s="279"/>
      <c r="M85" s="279"/>
    </row>
    <row r="86" ht="15.75" customHeight="1">
      <c r="A86" s="281"/>
      <c r="C86" s="282" t="s">
        <v>24</v>
      </c>
      <c r="D86" s="283" t="s">
        <v>115</v>
      </c>
      <c r="E86" s="282"/>
      <c r="F86" s="200"/>
      <c r="G86" s="280"/>
      <c r="H86" s="180"/>
      <c r="I86" s="282">
        <f>-Data_Input!D39</f>
        <v>-4.04</v>
      </c>
      <c r="J86" s="282">
        <f>-Data_Input!E39</f>
        <v>-4.2425</v>
      </c>
      <c r="K86" s="282">
        <f>-Data_Input!F39</f>
        <v>-4.455125</v>
      </c>
      <c r="L86" s="282">
        <f>-Data_Input!G39</f>
        <v>-4.67838125</v>
      </c>
      <c r="M86" s="282">
        <f>-Data_Input!H39</f>
        <v>-4.912800313</v>
      </c>
    </row>
    <row r="87" ht="15.75" customHeight="1">
      <c r="A87" s="281"/>
      <c r="C87" s="282" t="s">
        <v>28</v>
      </c>
      <c r="D87" s="283" t="s">
        <v>115</v>
      </c>
      <c r="E87" s="282"/>
      <c r="F87" s="200"/>
      <c r="G87" s="280"/>
      <c r="H87" s="180"/>
      <c r="I87" s="282">
        <f>Data_Input!$M$38</f>
        <v>0</v>
      </c>
      <c r="J87" s="282">
        <f t="shared" ref="J87:M87" si="38">If(I87&lt;&gt;0,I87*J90,0)</f>
        <v>0</v>
      </c>
      <c r="K87" s="282">
        <f t="shared" si="38"/>
        <v>0</v>
      </c>
      <c r="L87" s="282">
        <f t="shared" si="38"/>
        <v>0</v>
      </c>
      <c r="M87" s="282">
        <f t="shared" si="38"/>
        <v>0</v>
      </c>
    </row>
    <row r="88" ht="15.75" customHeight="1">
      <c r="A88" s="281"/>
      <c r="C88" s="282" t="s">
        <v>128</v>
      </c>
      <c r="D88" s="283" t="s">
        <v>115</v>
      </c>
      <c r="E88" s="282"/>
      <c r="F88" s="200"/>
      <c r="G88" s="280"/>
      <c r="H88" s="180"/>
      <c r="I88" s="282">
        <v>0.0</v>
      </c>
      <c r="J88" s="282">
        <f t="shared" ref="J88:M88" si="39">-If(I88&lt;&gt;0,I88*J90,0)</f>
        <v>0</v>
      </c>
      <c r="K88" s="282">
        <f t="shared" si="39"/>
        <v>0</v>
      </c>
      <c r="L88" s="282">
        <f t="shared" si="39"/>
        <v>0</v>
      </c>
      <c r="M88" s="282">
        <f t="shared" si="39"/>
        <v>0</v>
      </c>
    </row>
    <row r="89" ht="15.75" customHeight="1">
      <c r="A89" s="281"/>
      <c r="C89" s="282" t="s">
        <v>129</v>
      </c>
      <c r="D89" s="283" t="s">
        <v>115</v>
      </c>
      <c r="E89" s="282"/>
      <c r="F89" s="200"/>
      <c r="G89" s="280"/>
      <c r="H89" s="180"/>
      <c r="I89" s="282">
        <f t="shared" ref="I89:M89" si="40">sum(I86:I88)</f>
        <v>-4.04</v>
      </c>
      <c r="J89" s="282">
        <f t="shared" si="40"/>
        <v>-4.2425</v>
      </c>
      <c r="K89" s="282">
        <f t="shared" si="40"/>
        <v>-4.455125</v>
      </c>
      <c r="L89" s="282">
        <f t="shared" si="40"/>
        <v>-4.67838125</v>
      </c>
      <c r="M89" s="282">
        <f t="shared" si="40"/>
        <v>-4.912800313</v>
      </c>
    </row>
    <row r="90" ht="15.75" customHeight="1">
      <c r="A90" s="281"/>
      <c r="C90" s="282" t="s">
        <v>130</v>
      </c>
      <c r="D90" s="283" t="s">
        <v>108</v>
      </c>
      <c r="E90" s="282"/>
      <c r="F90" s="200"/>
      <c r="G90" s="280"/>
      <c r="H90" s="180"/>
      <c r="I90" s="279"/>
      <c r="J90" s="284">
        <f t="shared" ref="J90:M90" si="41">J89/I89-1</f>
        <v>0.05012376238</v>
      </c>
      <c r="K90" s="284">
        <f t="shared" si="41"/>
        <v>0.05011785504</v>
      </c>
      <c r="L90" s="284">
        <f t="shared" si="41"/>
        <v>0.0501122303</v>
      </c>
      <c r="M90" s="284">
        <f t="shared" si="41"/>
        <v>0.05010687457</v>
      </c>
    </row>
    <row r="91" ht="15.75" customHeight="1">
      <c r="A91" s="218"/>
      <c r="C91" s="250" t="s">
        <v>67</v>
      </c>
      <c r="D91" s="200"/>
      <c r="E91" s="282"/>
      <c r="F91" s="200"/>
      <c r="G91" s="280"/>
      <c r="H91" s="180"/>
      <c r="I91" s="279"/>
      <c r="J91" s="279"/>
      <c r="K91" s="279"/>
      <c r="L91" s="279"/>
      <c r="M91" s="279"/>
    </row>
    <row r="92" ht="15.75" customHeight="1">
      <c r="A92" s="281"/>
      <c r="C92" s="282" t="s">
        <v>24</v>
      </c>
      <c r="D92" s="283" t="s">
        <v>115</v>
      </c>
      <c r="E92" s="282"/>
      <c r="F92" s="200"/>
      <c r="G92" s="280"/>
      <c r="H92" s="180"/>
      <c r="I92" s="282">
        <f>-Data_Input!D48</f>
        <v>-3.49</v>
      </c>
      <c r="J92" s="282">
        <f>-Data_Input!E48</f>
        <v>-3.665</v>
      </c>
      <c r="K92" s="282">
        <f>-Data_Input!F48</f>
        <v>-3.84875</v>
      </c>
      <c r="L92" s="282">
        <f>-Data_Input!G48</f>
        <v>-4.0416875</v>
      </c>
      <c r="M92" s="282">
        <f>-Data_Input!H48</f>
        <v>-4.244271875</v>
      </c>
    </row>
    <row r="93" ht="15.75" customHeight="1">
      <c r="A93" s="281"/>
      <c r="C93" s="282" t="s">
        <v>28</v>
      </c>
      <c r="D93" s="283" t="s">
        <v>115</v>
      </c>
      <c r="E93" s="282"/>
      <c r="F93" s="200"/>
      <c r="G93" s="280"/>
      <c r="H93" s="180"/>
      <c r="I93" s="282">
        <f>Data_Input!$M$47</f>
        <v>0</v>
      </c>
      <c r="J93" s="282">
        <f t="shared" ref="J93:M93" si="42">If(I93&lt;&gt;0,I93*J96,0)</f>
        <v>0</v>
      </c>
      <c r="K93" s="282">
        <f t="shared" si="42"/>
        <v>0</v>
      </c>
      <c r="L93" s="282">
        <f t="shared" si="42"/>
        <v>0</v>
      </c>
      <c r="M93" s="282">
        <f t="shared" si="42"/>
        <v>0</v>
      </c>
    </row>
    <row r="94" ht="15.75" customHeight="1">
      <c r="A94" s="281"/>
      <c r="C94" s="282" t="s">
        <v>128</v>
      </c>
      <c r="D94" s="283" t="s">
        <v>115</v>
      </c>
      <c r="E94" s="282"/>
      <c r="F94" s="200"/>
      <c r="G94" s="280"/>
      <c r="H94" s="180"/>
      <c r="I94" s="282">
        <v>0.0</v>
      </c>
      <c r="J94" s="282">
        <f t="shared" ref="J94:M94" si="43">-If(I94&lt;&gt;0,I94*J96,0)</f>
        <v>0</v>
      </c>
      <c r="K94" s="282">
        <f t="shared" si="43"/>
        <v>0</v>
      </c>
      <c r="L94" s="282">
        <f t="shared" si="43"/>
        <v>0</v>
      </c>
      <c r="M94" s="282">
        <f t="shared" si="43"/>
        <v>0</v>
      </c>
    </row>
    <row r="95" ht="15.75" customHeight="1">
      <c r="A95" s="281"/>
      <c r="C95" s="282" t="s">
        <v>129</v>
      </c>
      <c r="D95" s="283" t="s">
        <v>115</v>
      </c>
      <c r="E95" s="282"/>
      <c r="F95" s="200"/>
      <c r="G95" s="280"/>
      <c r="H95" s="180"/>
      <c r="I95" s="282">
        <f t="shared" ref="I95:M95" si="44">sum(I92:I94)</f>
        <v>-3.49</v>
      </c>
      <c r="J95" s="282">
        <f t="shared" si="44"/>
        <v>-3.665</v>
      </c>
      <c r="K95" s="282">
        <f t="shared" si="44"/>
        <v>-3.84875</v>
      </c>
      <c r="L95" s="282">
        <f t="shared" si="44"/>
        <v>-4.0416875</v>
      </c>
      <c r="M95" s="282">
        <f t="shared" si="44"/>
        <v>-4.244271875</v>
      </c>
    </row>
    <row r="96" ht="15.75" customHeight="1">
      <c r="A96" s="281"/>
      <c r="C96" s="282" t="s">
        <v>130</v>
      </c>
      <c r="D96" s="283" t="s">
        <v>108</v>
      </c>
      <c r="E96" s="282"/>
      <c r="F96" s="200"/>
      <c r="G96" s="280"/>
      <c r="H96" s="180"/>
      <c r="I96" s="282"/>
      <c r="J96" s="284">
        <f t="shared" ref="J96:M96" si="45">J95/I95-1</f>
        <v>0.05014326648</v>
      </c>
      <c r="K96" s="284">
        <f t="shared" si="45"/>
        <v>0.05013642565</v>
      </c>
      <c r="L96" s="284">
        <f t="shared" si="45"/>
        <v>0.05012991231</v>
      </c>
      <c r="M96" s="284">
        <f t="shared" si="45"/>
        <v>0.0501237107</v>
      </c>
    </row>
    <row r="97" ht="15.75" customHeight="1">
      <c r="A97" s="218"/>
      <c r="C97" s="250" t="s">
        <v>69</v>
      </c>
      <c r="D97" s="200"/>
      <c r="E97" s="282"/>
      <c r="F97" s="200"/>
      <c r="G97" s="280"/>
      <c r="H97" s="180"/>
      <c r="I97" s="282"/>
      <c r="J97" s="282"/>
      <c r="K97" s="282"/>
      <c r="L97" s="282"/>
      <c r="M97" s="282"/>
    </row>
    <row r="98" ht="15.75" customHeight="1">
      <c r="A98" s="281"/>
      <c r="C98" s="282" t="s">
        <v>24</v>
      </c>
      <c r="D98" s="283" t="s">
        <v>115</v>
      </c>
      <c r="E98" s="282"/>
      <c r="F98" s="200"/>
      <c r="G98" s="280"/>
      <c r="H98" s="180"/>
      <c r="I98" s="282">
        <f>-Data_Input!D58</f>
        <v>-3.8</v>
      </c>
      <c r="J98" s="282">
        <f>-Data_Input!E58</f>
        <v>-3.9925</v>
      </c>
      <c r="K98" s="282">
        <f>-Data_Input!F58</f>
        <v>-4.194625</v>
      </c>
      <c r="L98" s="282">
        <f>-Data_Input!G58</f>
        <v>-4.40685625</v>
      </c>
      <c r="M98" s="282">
        <f>-Data_Input!H58</f>
        <v>-4.629699063</v>
      </c>
    </row>
    <row r="99" ht="15.75" customHeight="1">
      <c r="A99" s="281"/>
      <c r="C99" s="282" t="s">
        <v>28</v>
      </c>
      <c r="D99" s="283" t="s">
        <v>115</v>
      </c>
      <c r="E99" s="282"/>
      <c r="F99" s="200"/>
      <c r="G99" s="280"/>
      <c r="H99" s="180"/>
      <c r="I99" s="282">
        <f>Data_Input!$M$57</f>
        <v>0</v>
      </c>
      <c r="J99" s="282">
        <f t="shared" ref="J99:M99" si="46">If(I99&lt;&gt;0,I99*J102,0)</f>
        <v>0</v>
      </c>
      <c r="K99" s="282">
        <f t="shared" si="46"/>
        <v>0</v>
      </c>
      <c r="L99" s="282">
        <f t="shared" si="46"/>
        <v>0</v>
      </c>
      <c r="M99" s="282">
        <f t="shared" si="46"/>
        <v>0</v>
      </c>
    </row>
    <row r="100" ht="15.75" customHeight="1">
      <c r="A100" s="281"/>
      <c r="C100" s="282" t="s">
        <v>128</v>
      </c>
      <c r="D100" s="283" t="s">
        <v>115</v>
      </c>
      <c r="E100" s="282"/>
      <c r="F100" s="200"/>
      <c r="G100" s="280"/>
      <c r="H100" s="180"/>
      <c r="I100" s="282">
        <v>0.0</v>
      </c>
      <c r="J100" s="282">
        <f t="shared" ref="J100:M100" si="47">-If(I100&lt;&gt;0,I100*J102,0)</f>
        <v>0</v>
      </c>
      <c r="K100" s="282">
        <f t="shared" si="47"/>
        <v>0</v>
      </c>
      <c r="L100" s="282">
        <f t="shared" si="47"/>
        <v>0</v>
      </c>
      <c r="M100" s="282">
        <f t="shared" si="47"/>
        <v>0</v>
      </c>
    </row>
    <row r="101" ht="15.75" customHeight="1">
      <c r="A101" s="281"/>
      <c r="C101" s="282" t="s">
        <v>129</v>
      </c>
      <c r="D101" s="283" t="s">
        <v>115</v>
      </c>
      <c r="E101" s="282"/>
      <c r="F101" s="200"/>
      <c r="G101" s="280"/>
      <c r="H101" s="180"/>
      <c r="I101" s="282">
        <f t="shared" ref="I101:M101" si="48">sum(I98:I100)</f>
        <v>-3.8</v>
      </c>
      <c r="J101" s="282">
        <f t="shared" si="48"/>
        <v>-3.9925</v>
      </c>
      <c r="K101" s="282">
        <f t="shared" si="48"/>
        <v>-4.194625</v>
      </c>
      <c r="L101" s="282">
        <f t="shared" si="48"/>
        <v>-4.40685625</v>
      </c>
      <c r="M101" s="282">
        <f t="shared" si="48"/>
        <v>-4.629699063</v>
      </c>
    </row>
    <row r="102" ht="15.75" customHeight="1">
      <c r="A102" s="281"/>
      <c r="C102" s="282" t="s">
        <v>130</v>
      </c>
      <c r="D102" s="283" t="s">
        <v>108</v>
      </c>
      <c r="E102" s="282"/>
      <c r="F102" s="200"/>
      <c r="G102" s="280"/>
      <c r="H102" s="180"/>
      <c r="I102" s="282"/>
      <c r="J102" s="284">
        <f t="shared" ref="J102:M102" si="49">J101/I101-1</f>
        <v>0.05065789474</v>
      </c>
      <c r="K102" s="284">
        <f t="shared" si="49"/>
        <v>0.05062617408</v>
      </c>
      <c r="L102" s="284">
        <f t="shared" si="49"/>
        <v>0.05059600083</v>
      </c>
      <c r="M102" s="284">
        <f t="shared" si="49"/>
        <v>0.05056729783</v>
      </c>
    </row>
    <row r="103" ht="15.75" customHeight="1">
      <c r="A103" s="218"/>
      <c r="C103" s="250" t="s">
        <v>71</v>
      </c>
      <c r="D103" s="200"/>
      <c r="E103" s="282"/>
      <c r="F103" s="200"/>
      <c r="G103" s="280"/>
      <c r="H103" s="180"/>
      <c r="I103" s="282"/>
      <c r="J103" s="282"/>
      <c r="K103" s="282"/>
      <c r="L103" s="282"/>
      <c r="M103" s="282"/>
    </row>
    <row r="104" ht="15.75" customHeight="1">
      <c r="A104" s="281"/>
      <c r="B104" s="281"/>
      <c r="C104" s="282" t="s">
        <v>24</v>
      </c>
      <c r="D104" s="283" t="s">
        <v>115</v>
      </c>
      <c r="E104" s="282"/>
      <c r="F104" s="200"/>
      <c r="G104" s="280"/>
      <c r="H104" s="180"/>
      <c r="I104" s="282">
        <f>-Data_Input!D67</f>
        <v>-12.4</v>
      </c>
      <c r="J104" s="282">
        <f>-Data_Input!E67</f>
        <v>-12.4</v>
      </c>
      <c r="K104" s="282">
        <f>-Data_Input!F67</f>
        <v>-12.4</v>
      </c>
      <c r="L104" s="282">
        <f>-Data_Input!G67</f>
        <v>-12.4</v>
      </c>
      <c r="M104" s="282">
        <f>-Data_Input!H67</f>
        <v>-12.4</v>
      </c>
    </row>
    <row r="105" ht="15.75" customHeight="1">
      <c r="A105" s="281"/>
      <c r="B105" s="281"/>
      <c r="C105" s="282" t="s">
        <v>28</v>
      </c>
      <c r="D105" s="283" t="s">
        <v>115</v>
      </c>
      <c r="E105" s="282"/>
      <c r="F105" s="200"/>
      <c r="G105" s="280"/>
      <c r="H105" s="180"/>
      <c r="I105" s="282">
        <f>Data_Input!$M$66</f>
        <v>0</v>
      </c>
      <c r="J105" s="282">
        <f t="shared" ref="J105:M105" si="50">If(I105&lt;&gt;0,I105*J108,0)</f>
        <v>0</v>
      </c>
      <c r="K105" s="282">
        <f t="shared" si="50"/>
        <v>0</v>
      </c>
      <c r="L105" s="282">
        <f t="shared" si="50"/>
        <v>0</v>
      </c>
      <c r="M105" s="282">
        <f t="shared" si="50"/>
        <v>0</v>
      </c>
    </row>
    <row r="106" ht="15.75" customHeight="1">
      <c r="A106" s="281"/>
      <c r="B106" s="281"/>
      <c r="C106" s="282" t="s">
        <v>128</v>
      </c>
      <c r="D106" s="283" t="s">
        <v>115</v>
      </c>
      <c r="E106" s="282"/>
      <c r="F106" s="200"/>
      <c r="G106" s="280"/>
      <c r="H106" s="180"/>
      <c r="I106" s="282">
        <v>0.0</v>
      </c>
      <c r="J106" s="282">
        <f t="shared" ref="J106:M106" si="51">-If(I106&lt;&gt;0,I106*J108,0)</f>
        <v>0</v>
      </c>
      <c r="K106" s="282">
        <f t="shared" si="51"/>
        <v>0</v>
      </c>
      <c r="L106" s="282">
        <f t="shared" si="51"/>
        <v>0</v>
      </c>
      <c r="M106" s="282">
        <f t="shared" si="51"/>
        <v>0</v>
      </c>
    </row>
    <row r="107" ht="15.75" customHeight="1">
      <c r="A107" s="281"/>
      <c r="B107" s="281"/>
      <c r="C107" s="282" t="s">
        <v>129</v>
      </c>
      <c r="D107" s="283" t="s">
        <v>115</v>
      </c>
      <c r="E107" s="282"/>
      <c r="F107" s="200"/>
      <c r="G107" s="280"/>
      <c r="H107" s="180"/>
      <c r="I107" s="282">
        <f t="shared" ref="I107:M107" si="52">sum(I104:I106)</f>
        <v>-12.4</v>
      </c>
      <c r="J107" s="282">
        <f t="shared" si="52"/>
        <v>-12.4</v>
      </c>
      <c r="K107" s="282">
        <f t="shared" si="52"/>
        <v>-12.4</v>
      </c>
      <c r="L107" s="282">
        <f t="shared" si="52"/>
        <v>-12.4</v>
      </c>
      <c r="M107" s="282">
        <f t="shared" si="52"/>
        <v>-12.4</v>
      </c>
    </row>
    <row r="108" ht="15.75" customHeight="1">
      <c r="A108" s="281"/>
      <c r="B108" s="281"/>
      <c r="C108" s="282" t="s">
        <v>130</v>
      </c>
      <c r="D108" s="283" t="s">
        <v>108</v>
      </c>
      <c r="E108" s="282"/>
      <c r="F108" s="200"/>
      <c r="G108" s="280"/>
      <c r="H108" s="180"/>
      <c r="I108" s="282"/>
      <c r="J108" s="284">
        <f t="shared" ref="J108:M108" si="53">J107/I107-1</f>
        <v>0</v>
      </c>
      <c r="K108" s="284">
        <f t="shared" si="53"/>
        <v>0</v>
      </c>
      <c r="L108" s="284">
        <f t="shared" si="53"/>
        <v>0</v>
      </c>
      <c r="M108" s="284">
        <f t="shared" si="53"/>
        <v>0</v>
      </c>
    </row>
    <row r="109" ht="15.75" customHeight="1">
      <c r="A109" s="218"/>
      <c r="C109" s="250" t="s">
        <v>120</v>
      </c>
      <c r="D109" s="200"/>
      <c r="E109" s="282"/>
      <c r="F109" s="200"/>
      <c r="G109" s="280"/>
      <c r="H109" s="180"/>
      <c r="I109" s="282"/>
      <c r="J109" s="282"/>
      <c r="K109" s="282"/>
      <c r="L109" s="282"/>
      <c r="M109" s="282"/>
    </row>
    <row r="110" ht="15.75" customHeight="1">
      <c r="A110" s="281"/>
      <c r="B110" s="281"/>
      <c r="C110" s="282" t="s">
        <v>24</v>
      </c>
      <c r="D110" s="283" t="s">
        <v>115</v>
      </c>
      <c r="E110" s="282"/>
      <c r="F110" s="200"/>
      <c r="G110" s="280"/>
      <c r="H110" s="180"/>
      <c r="I110" s="282">
        <f>-Data_Input!D77</f>
        <v>-65.5</v>
      </c>
      <c r="J110" s="282">
        <f>-Data_Input!E77</f>
        <v>-65.5</v>
      </c>
      <c r="K110" s="282">
        <f>-Data_Input!F77</f>
        <v>-65.5</v>
      </c>
      <c r="L110" s="282">
        <f>-Data_Input!G77</f>
        <v>-65.5</v>
      </c>
      <c r="M110" s="282">
        <f>-Data_Input!H77</f>
        <v>-65.5</v>
      </c>
    </row>
    <row r="111" ht="15.75" customHeight="1">
      <c r="A111" s="281"/>
      <c r="B111" s="281"/>
      <c r="C111" s="282" t="s">
        <v>28</v>
      </c>
      <c r="D111" s="283" t="s">
        <v>115</v>
      </c>
      <c r="E111" s="282"/>
      <c r="F111" s="200"/>
      <c r="G111" s="280"/>
      <c r="H111" s="180"/>
      <c r="I111" s="282">
        <f>Data_Input!$M$76</f>
        <v>0</v>
      </c>
      <c r="J111" s="282">
        <f t="shared" ref="J111:M111" si="54">If(I111&lt;&gt;0,I111*J114,0)</f>
        <v>0</v>
      </c>
      <c r="K111" s="282">
        <f t="shared" si="54"/>
        <v>0</v>
      </c>
      <c r="L111" s="282">
        <f t="shared" si="54"/>
        <v>0</v>
      </c>
      <c r="M111" s="282">
        <f t="shared" si="54"/>
        <v>0</v>
      </c>
    </row>
    <row r="112" ht="15.75" customHeight="1">
      <c r="A112" s="281"/>
      <c r="B112" s="281"/>
      <c r="C112" s="282" t="s">
        <v>128</v>
      </c>
      <c r="D112" s="283" t="s">
        <v>115</v>
      </c>
      <c r="E112" s="282"/>
      <c r="F112" s="200"/>
      <c r="G112" s="280"/>
      <c r="H112" s="180"/>
      <c r="I112" s="282">
        <v>0.0</v>
      </c>
      <c r="J112" s="282">
        <f t="shared" ref="J112:M112" si="55">-If(I112&lt;&gt;0,I112*J114,0)</f>
        <v>0</v>
      </c>
      <c r="K112" s="282">
        <f t="shared" si="55"/>
        <v>0</v>
      </c>
      <c r="L112" s="282">
        <f t="shared" si="55"/>
        <v>0</v>
      </c>
      <c r="M112" s="282">
        <f t="shared" si="55"/>
        <v>0</v>
      </c>
    </row>
    <row r="113" ht="15.75" customHeight="1">
      <c r="A113" s="281"/>
      <c r="B113" s="281"/>
      <c r="C113" s="282" t="s">
        <v>129</v>
      </c>
      <c r="D113" s="283" t="s">
        <v>115</v>
      </c>
      <c r="E113" s="282"/>
      <c r="F113" s="200"/>
      <c r="G113" s="280"/>
      <c r="H113" s="180"/>
      <c r="I113" s="282">
        <f t="shared" ref="I113:M113" si="56">sum(I110:I112)</f>
        <v>-65.5</v>
      </c>
      <c r="J113" s="282">
        <f t="shared" si="56"/>
        <v>-65.5</v>
      </c>
      <c r="K113" s="282">
        <f t="shared" si="56"/>
        <v>-65.5</v>
      </c>
      <c r="L113" s="282">
        <f t="shared" si="56"/>
        <v>-65.5</v>
      </c>
      <c r="M113" s="282">
        <f t="shared" si="56"/>
        <v>-65.5</v>
      </c>
    </row>
    <row r="114" ht="15.75" customHeight="1">
      <c r="A114" s="285"/>
      <c r="B114" s="285"/>
      <c r="C114" s="286" t="s">
        <v>130</v>
      </c>
      <c r="D114" s="287" t="s">
        <v>108</v>
      </c>
      <c r="E114" s="288"/>
      <c r="F114" s="289"/>
      <c r="G114" s="290"/>
      <c r="H114" s="186"/>
      <c r="I114" s="286"/>
      <c r="J114" s="291">
        <f t="shared" ref="J114:M114" si="57">J113/I113-1</f>
        <v>0</v>
      </c>
      <c r="K114" s="291">
        <f t="shared" si="57"/>
        <v>0</v>
      </c>
      <c r="L114" s="291">
        <f t="shared" si="57"/>
        <v>0</v>
      </c>
      <c r="M114" s="291">
        <f t="shared" si="57"/>
        <v>0</v>
      </c>
    </row>
    <row r="115" ht="16.5" customHeight="1">
      <c r="A115" s="169"/>
      <c r="B115" s="173" t="s">
        <v>131</v>
      </c>
      <c r="C115" s="169"/>
      <c r="D115" s="169"/>
      <c r="E115" s="217"/>
      <c r="F115" s="169"/>
      <c r="G115" s="200"/>
      <c r="H115" s="175"/>
      <c r="I115" s="229"/>
      <c r="J115" s="229"/>
      <c r="K115" s="229"/>
      <c r="L115" s="229"/>
      <c r="M115" s="229"/>
    </row>
    <row r="116" ht="15.75" customHeight="1">
      <c r="A116" s="229"/>
      <c r="B116" s="169"/>
      <c r="C116" s="292" t="s">
        <v>132</v>
      </c>
      <c r="D116" s="293" t="s">
        <v>113</v>
      </c>
      <c r="E116" s="282"/>
      <c r="F116" s="294"/>
      <c r="G116" s="295">
        <v>-1408362.01</v>
      </c>
      <c r="H116" s="296">
        <v>-1.099606706E7</v>
      </c>
      <c r="I116" s="297"/>
      <c r="J116" s="297"/>
      <c r="K116" s="297"/>
      <c r="L116" s="297"/>
      <c r="M116" s="297"/>
    </row>
    <row r="117" ht="15.75" customHeight="1">
      <c r="A117" s="229"/>
      <c r="B117" s="169"/>
      <c r="C117" s="292" t="s">
        <v>133</v>
      </c>
      <c r="D117" s="293" t="s">
        <v>113</v>
      </c>
      <c r="E117" s="282"/>
      <c r="F117" s="294"/>
      <c r="G117" s="295">
        <v>-1.096565019E7</v>
      </c>
      <c r="H117" s="296">
        <v>-3.693622786E7</v>
      </c>
      <c r="I117" s="297"/>
      <c r="J117" s="297"/>
      <c r="K117" s="297"/>
      <c r="L117" s="297"/>
      <c r="M117" s="297"/>
    </row>
    <row r="118" ht="15.75" customHeight="1">
      <c r="A118" s="229"/>
      <c r="B118" s="298"/>
      <c r="C118" s="299" t="s">
        <v>134</v>
      </c>
      <c r="D118" s="293" t="s">
        <v>113</v>
      </c>
      <c r="E118" s="282"/>
      <c r="F118" s="300"/>
      <c r="G118" s="295">
        <f>SUM(G116:G117)</f>
        <v>-12374012.2</v>
      </c>
      <c r="H118" s="296">
        <f>SUM(H116:H117)-H170</f>
        <v>-42165456.92</v>
      </c>
      <c r="I118" s="282">
        <f t="shared" ref="I118:M118" si="58">H118*(1+I119)</f>
        <v>-44145749.23</v>
      </c>
      <c r="J118" s="282">
        <f t="shared" si="58"/>
        <v>-46322710.4</v>
      </c>
      <c r="K118" s="282">
        <f t="shared" si="58"/>
        <v>-48721239.83</v>
      </c>
      <c r="L118" s="282">
        <f t="shared" si="58"/>
        <v>-51370098.09</v>
      </c>
      <c r="M118" s="282">
        <f t="shared" si="58"/>
        <v>-54302612</v>
      </c>
    </row>
    <row r="119" ht="15.75" customHeight="1">
      <c r="A119" s="191"/>
      <c r="B119" s="191"/>
      <c r="C119" s="301" t="s">
        <v>135</v>
      </c>
      <c r="D119" s="302" t="s">
        <v>108</v>
      </c>
      <c r="E119" s="280"/>
      <c r="F119" s="191"/>
      <c r="G119" s="303">
        <f>-G118/G15</f>
        <v>0.1459126869</v>
      </c>
      <c r="H119" s="304">
        <f>-H118/H60</f>
        <v>0.04472838235</v>
      </c>
      <c r="I119" s="191">
        <f t="shared" ref="I119:M119" si="59">H119*(1+I120)</f>
        <v>0.04696480147</v>
      </c>
      <c r="J119" s="191">
        <f t="shared" si="59"/>
        <v>0.04931304154</v>
      </c>
      <c r="K119" s="191">
        <f t="shared" si="59"/>
        <v>0.05177869362</v>
      </c>
      <c r="L119" s="191">
        <f t="shared" si="59"/>
        <v>0.0543676283</v>
      </c>
      <c r="M119" s="191">
        <f t="shared" si="59"/>
        <v>0.05708600972</v>
      </c>
    </row>
    <row r="120" ht="15.75" customHeight="1">
      <c r="A120" s="191"/>
      <c r="B120" s="169"/>
      <c r="C120" s="305" t="s">
        <v>136</v>
      </c>
      <c r="D120" s="302" t="s">
        <v>108</v>
      </c>
      <c r="E120" s="306">
        <v>0.05</v>
      </c>
      <c r="F120" s="307" t="str">
        <f>(F118-E118)/E118</f>
        <v>#DIV/0!</v>
      </c>
      <c r="G120" s="279"/>
      <c r="H120" s="180"/>
      <c r="I120" s="279">
        <f t="shared" ref="I120:M120" si="60">$E$120</f>
        <v>0.05</v>
      </c>
      <c r="J120" s="279">
        <f t="shared" si="60"/>
        <v>0.05</v>
      </c>
      <c r="K120" s="279">
        <f t="shared" si="60"/>
        <v>0.05</v>
      </c>
      <c r="L120" s="279">
        <f t="shared" si="60"/>
        <v>0.05</v>
      </c>
      <c r="M120" s="279">
        <f t="shared" si="60"/>
        <v>0.05</v>
      </c>
    </row>
    <row r="121" ht="15.75" customHeight="1">
      <c r="A121" s="301"/>
      <c r="B121" s="301"/>
      <c r="C121" s="305" t="s">
        <v>137</v>
      </c>
      <c r="D121" s="302" t="s">
        <v>108</v>
      </c>
      <c r="E121" s="308">
        <v>0.25</v>
      </c>
      <c r="F121" s="301"/>
      <c r="G121" s="309">
        <f>E121</f>
        <v>0.25</v>
      </c>
      <c r="H121" s="310">
        <f t="shared" ref="H121:M121" si="61">G121</f>
        <v>0.25</v>
      </c>
      <c r="I121" s="311">
        <f t="shared" si="61"/>
        <v>0.25</v>
      </c>
      <c r="J121" s="311">
        <f t="shared" si="61"/>
        <v>0.25</v>
      </c>
      <c r="K121" s="311">
        <f t="shared" si="61"/>
        <v>0.25</v>
      </c>
      <c r="L121" s="311">
        <f t="shared" si="61"/>
        <v>0.25</v>
      </c>
      <c r="M121" s="311">
        <f t="shared" si="61"/>
        <v>0.25</v>
      </c>
    </row>
    <row r="122" ht="15.75" customHeight="1">
      <c r="A122" s="312"/>
      <c r="B122" s="313" t="s">
        <v>138</v>
      </c>
      <c r="C122" s="312"/>
      <c r="D122" s="312"/>
      <c r="E122" s="312"/>
      <c r="F122" s="314">
        <f>sum(F116:F117)</f>
        <v>0</v>
      </c>
      <c r="G122" s="289"/>
      <c r="H122" s="260"/>
      <c r="I122" s="312"/>
      <c r="J122" s="312"/>
      <c r="K122" s="312"/>
      <c r="L122" s="312"/>
      <c r="M122" s="312"/>
    </row>
    <row r="123" ht="15.75" customHeight="1">
      <c r="A123" s="173" t="s">
        <v>139</v>
      </c>
      <c r="C123" s="169"/>
      <c r="D123" s="169"/>
      <c r="E123" s="169"/>
      <c r="F123" s="169"/>
      <c r="G123" s="200"/>
      <c r="H123" s="175"/>
      <c r="I123" s="169"/>
      <c r="J123" s="169"/>
      <c r="K123" s="169"/>
      <c r="L123" s="169"/>
      <c r="M123" s="169"/>
    </row>
    <row r="124" ht="15.75" customHeight="1">
      <c r="A124" s="169"/>
      <c r="B124" s="169"/>
      <c r="C124" s="169" t="s">
        <v>140</v>
      </c>
      <c r="D124" s="293" t="s">
        <v>141</v>
      </c>
      <c r="E124" s="315">
        <v>20.0</v>
      </c>
      <c r="F124" s="316">
        <f t="shared" ref="F124:G124" si="62">$E124</f>
        <v>20</v>
      </c>
      <c r="G124" s="317">
        <f t="shared" si="62"/>
        <v>20</v>
      </c>
      <c r="H124" s="318">
        <v>-3.50337737E7</v>
      </c>
      <c r="I124" s="316">
        <f t="shared" ref="I124:M124" si="63">$E124</f>
        <v>20</v>
      </c>
      <c r="J124" s="316">
        <f t="shared" si="63"/>
        <v>20</v>
      </c>
      <c r="K124" s="316">
        <f t="shared" si="63"/>
        <v>20</v>
      </c>
      <c r="L124" s="316">
        <f t="shared" si="63"/>
        <v>20</v>
      </c>
      <c r="M124" s="316">
        <f t="shared" si="63"/>
        <v>20</v>
      </c>
    </row>
    <row r="125" ht="15.75" customHeight="1">
      <c r="A125" s="169"/>
      <c r="B125" s="169"/>
      <c r="C125" s="169" t="s">
        <v>142</v>
      </c>
      <c r="D125" s="293" t="s">
        <v>143</v>
      </c>
      <c r="E125" s="315">
        <v>30.0</v>
      </c>
      <c r="F125" s="316">
        <f t="shared" ref="F125:G125" si="64">$E125</f>
        <v>30</v>
      </c>
      <c r="G125" s="317">
        <f t="shared" si="64"/>
        <v>30</v>
      </c>
      <c r="H125" s="319">
        <v>-5.006856191E7</v>
      </c>
      <c r="I125" s="316">
        <f t="shared" ref="I125:M125" si="65">$E125</f>
        <v>30</v>
      </c>
      <c r="J125" s="316">
        <f t="shared" si="65"/>
        <v>30</v>
      </c>
      <c r="K125" s="316">
        <f t="shared" si="65"/>
        <v>30</v>
      </c>
      <c r="L125" s="316">
        <f t="shared" si="65"/>
        <v>30</v>
      </c>
      <c r="M125" s="316">
        <f t="shared" si="65"/>
        <v>30</v>
      </c>
    </row>
    <row r="126" ht="15.75" customHeight="1">
      <c r="A126" s="169"/>
      <c r="B126" s="169"/>
      <c r="C126" s="169" t="s">
        <v>144</v>
      </c>
      <c r="D126" s="293" t="s">
        <v>143</v>
      </c>
      <c r="E126" s="315">
        <v>5.0</v>
      </c>
      <c r="F126" s="316">
        <f t="shared" ref="F126:G126" si="66">$E126</f>
        <v>5</v>
      </c>
      <c r="G126" s="317">
        <f t="shared" si="66"/>
        <v>5</v>
      </c>
      <c r="H126" s="320">
        <v>1.810941774E7</v>
      </c>
      <c r="I126" s="316">
        <f t="shared" ref="I126:M126" si="67">$E126</f>
        <v>5</v>
      </c>
      <c r="J126" s="316">
        <f t="shared" si="67"/>
        <v>5</v>
      </c>
      <c r="K126" s="316">
        <f t="shared" si="67"/>
        <v>5</v>
      </c>
      <c r="L126" s="316">
        <f t="shared" si="67"/>
        <v>5</v>
      </c>
      <c r="M126" s="316">
        <f t="shared" si="67"/>
        <v>5</v>
      </c>
    </row>
    <row r="127" ht="15.75" customHeight="1">
      <c r="A127" s="305"/>
      <c r="B127" s="305"/>
      <c r="C127" s="305" t="s">
        <v>145</v>
      </c>
      <c r="D127" s="321" t="s">
        <v>113</v>
      </c>
      <c r="E127" s="322">
        <v>1.644330813E7</v>
      </c>
      <c r="F127" s="305"/>
      <c r="G127" s="323"/>
      <c r="H127" s="323"/>
      <c r="I127" s="305"/>
      <c r="J127" s="305"/>
      <c r="K127" s="305"/>
      <c r="L127" s="305"/>
      <c r="M127" s="305"/>
    </row>
    <row r="128" ht="15.75" customHeight="1">
      <c r="A128" s="173" t="s">
        <v>146</v>
      </c>
      <c r="B128" s="169"/>
      <c r="C128" s="169"/>
      <c r="D128" s="169"/>
      <c r="E128" s="169"/>
      <c r="F128" s="169"/>
      <c r="G128" s="200"/>
      <c r="H128" s="175"/>
      <c r="I128" s="169"/>
      <c r="J128" s="169"/>
      <c r="K128" s="169"/>
      <c r="L128" s="169"/>
      <c r="M128" s="169"/>
    </row>
    <row r="129" ht="15.75" customHeight="1">
      <c r="A129" s="169"/>
      <c r="B129" s="173" t="s">
        <v>147</v>
      </c>
      <c r="C129" s="169"/>
      <c r="D129" s="169"/>
      <c r="E129" s="324"/>
      <c r="F129" s="281"/>
      <c r="G129" s="200"/>
      <c r="H129" s="325"/>
      <c r="I129" s="169"/>
      <c r="J129" s="169"/>
      <c r="K129" s="169"/>
      <c r="L129" s="169"/>
      <c r="M129" s="169"/>
    </row>
    <row r="130" ht="15.75" customHeight="1">
      <c r="A130" s="169"/>
      <c r="B130" s="173"/>
      <c r="C130" s="169" t="s">
        <v>140</v>
      </c>
      <c r="D130" s="293" t="s">
        <v>113</v>
      </c>
      <c r="E130" s="326">
        <f t="shared" ref="E130:E131" si="68">-H124</f>
        <v>35033773.7</v>
      </c>
      <c r="F130" s="281"/>
      <c r="G130" s="200"/>
      <c r="H130" s="325"/>
      <c r="I130" s="169"/>
      <c r="J130" s="169"/>
      <c r="K130" s="169"/>
      <c r="L130" s="169"/>
      <c r="M130" s="169"/>
    </row>
    <row r="131" ht="15.75" customHeight="1">
      <c r="A131" s="169"/>
      <c r="B131" s="173"/>
      <c r="C131" s="169" t="s">
        <v>142</v>
      </c>
      <c r="D131" s="293" t="s">
        <v>113</v>
      </c>
      <c r="E131" s="327">
        <f t="shared" si="68"/>
        <v>50068561.91</v>
      </c>
      <c r="F131" s="281"/>
      <c r="G131" s="200"/>
      <c r="H131" s="325"/>
      <c r="I131" s="169"/>
      <c r="J131" s="169"/>
      <c r="K131" s="169"/>
      <c r="L131" s="169"/>
      <c r="M131" s="169"/>
    </row>
    <row r="132" ht="15.75" customHeight="1">
      <c r="A132" s="169"/>
      <c r="B132" s="173"/>
      <c r="C132" s="169" t="s">
        <v>148</v>
      </c>
      <c r="D132" s="293"/>
      <c r="E132" s="327">
        <f>SUM(E130:E131)</f>
        <v>85102335.61</v>
      </c>
      <c r="F132" s="281"/>
      <c r="G132" s="200"/>
      <c r="H132" s="325"/>
      <c r="I132" s="169"/>
      <c r="J132" s="169"/>
      <c r="K132" s="169"/>
      <c r="L132" s="169"/>
      <c r="M132" s="169"/>
    </row>
    <row r="133" ht="15.75" customHeight="1">
      <c r="A133" s="169"/>
      <c r="B133" s="173" t="s">
        <v>149</v>
      </c>
      <c r="C133" s="169"/>
      <c r="D133" s="169"/>
      <c r="E133" s="324"/>
      <c r="F133" s="281"/>
      <c r="G133" s="200"/>
      <c r="H133" s="325"/>
      <c r="I133" s="169"/>
      <c r="J133" s="169"/>
      <c r="K133" s="169"/>
      <c r="L133" s="169"/>
      <c r="M133" s="169"/>
    </row>
    <row r="134" ht="15.75" customHeight="1">
      <c r="A134" s="169"/>
      <c r="B134" s="169"/>
      <c r="C134" s="169" t="s">
        <v>150</v>
      </c>
      <c r="D134" s="169"/>
      <c r="E134" s="324">
        <v>4.828449784E7</v>
      </c>
      <c r="F134" s="281"/>
      <c r="G134" s="200"/>
      <c r="H134" s="325"/>
      <c r="J134" s="169"/>
      <c r="K134" s="169"/>
      <c r="L134" s="169"/>
      <c r="M134" s="169"/>
    </row>
    <row r="135" ht="15.75" customHeight="1">
      <c r="A135" s="169"/>
      <c r="B135" s="169"/>
      <c r="C135" s="169" t="s">
        <v>151</v>
      </c>
      <c r="D135" s="169"/>
      <c r="E135" s="324">
        <v>1.801877198E7</v>
      </c>
      <c r="F135" s="281"/>
      <c r="G135" s="200"/>
      <c r="H135" s="325"/>
      <c r="I135" s="328"/>
      <c r="J135" s="169"/>
      <c r="K135" s="169"/>
      <c r="L135" s="169"/>
      <c r="M135" s="169"/>
    </row>
    <row r="136" ht="15.75" customHeight="1">
      <c r="A136" s="169"/>
      <c r="B136" s="169"/>
      <c r="C136" s="169" t="s">
        <v>152</v>
      </c>
      <c r="D136" s="169"/>
      <c r="E136" s="324">
        <v>2283330.64</v>
      </c>
      <c r="F136" s="281"/>
      <c r="G136" s="200"/>
      <c r="H136" s="325"/>
      <c r="I136" s="328"/>
      <c r="J136" s="229"/>
      <c r="K136" s="169"/>
      <c r="L136" s="169"/>
      <c r="M136" s="169"/>
    </row>
    <row r="137" ht="15.75" customHeight="1">
      <c r="A137" s="169"/>
      <c r="B137" s="169"/>
      <c r="C137" s="169" t="s">
        <v>153</v>
      </c>
      <c r="D137" s="169"/>
      <c r="E137" s="324">
        <v>887049.4</v>
      </c>
      <c r="F137" s="281"/>
      <c r="G137" s="200"/>
      <c r="H137" s="325"/>
      <c r="I137" s="328"/>
      <c r="J137" s="169"/>
      <c r="K137" s="169"/>
      <c r="L137" s="169"/>
      <c r="M137" s="169"/>
    </row>
    <row r="138" ht="15.75" customHeight="1">
      <c r="A138" s="169"/>
      <c r="B138" s="169"/>
      <c r="C138" s="169" t="s">
        <v>154</v>
      </c>
      <c r="D138" s="169"/>
      <c r="E138" s="324">
        <v>7000704.3</v>
      </c>
      <c r="F138" s="281"/>
      <c r="G138" s="200"/>
      <c r="H138" s="325"/>
      <c r="I138" s="328"/>
      <c r="J138" s="169"/>
      <c r="K138" s="169"/>
      <c r="L138" s="169"/>
      <c r="M138" s="169"/>
    </row>
    <row r="139" ht="15.75" customHeight="1">
      <c r="A139" s="169"/>
      <c r="B139" s="169"/>
      <c r="C139" s="169" t="s">
        <v>155</v>
      </c>
      <c r="D139" s="169"/>
      <c r="E139" s="324">
        <v>130172.3</v>
      </c>
      <c r="F139" s="281"/>
      <c r="G139" s="200"/>
      <c r="H139" s="325"/>
      <c r="I139" s="328"/>
      <c r="J139" s="169"/>
      <c r="K139" s="169"/>
      <c r="L139" s="169"/>
      <c r="M139" s="169"/>
    </row>
    <row r="140" ht="15.75" customHeight="1">
      <c r="A140" s="169"/>
      <c r="B140" s="169"/>
      <c r="C140" s="169" t="s">
        <v>156</v>
      </c>
      <c r="D140" s="169"/>
      <c r="E140" s="324">
        <v>617941.6</v>
      </c>
      <c r="F140" s="281"/>
      <c r="G140" s="200"/>
      <c r="H140" s="325"/>
      <c r="I140" s="328"/>
      <c r="K140" s="169"/>
      <c r="L140" s="169"/>
      <c r="M140" s="169"/>
    </row>
    <row r="141" ht="15.75" customHeight="1">
      <c r="A141" s="169"/>
      <c r="B141" s="169"/>
      <c r="C141" s="169" t="s">
        <v>157</v>
      </c>
      <c r="D141" s="169"/>
      <c r="E141" s="324">
        <v>4318869.65</v>
      </c>
      <c r="F141" s="281"/>
      <c r="G141" s="200"/>
      <c r="H141" s="325"/>
      <c r="I141" s="328"/>
      <c r="J141" s="169"/>
      <c r="K141" s="169"/>
      <c r="L141" s="169"/>
      <c r="M141" s="169"/>
    </row>
    <row r="142" ht="15.75" customHeight="1">
      <c r="A142" s="169"/>
      <c r="B142" s="169"/>
      <c r="C142" s="169" t="s">
        <v>158</v>
      </c>
      <c r="D142" s="169"/>
      <c r="E142" s="324">
        <v>1063876.81</v>
      </c>
      <c r="F142" s="281"/>
      <c r="G142" s="200"/>
      <c r="H142" s="325"/>
      <c r="I142" s="328"/>
      <c r="J142" s="169"/>
      <c r="K142" s="169"/>
      <c r="L142" s="169"/>
      <c r="M142" s="169"/>
    </row>
    <row r="143" ht="15.75" customHeight="1">
      <c r="A143" s="169"/>
      <c r="B143" s="169"/>
      <c r="C143" s="169" t="s">
        <v>159</v>
      </c>
      <c r="D143" s="169"/>
      <c r="E143" s="324">
        <v>0.0</v>
      </c>
      <c r="F143" s="281"/>
      <c r="G143" s="200"/>
      <c r="H143" s="325"/>
      <c r="I143" s="169"/>
      <c r="J143" s="169"/>
      <c r="K143" s="169"/>
      <c r="L143" s="169"/>
      <c r="M143" s="169"/>
    </row>
    <row r="144" ht="15.75" customHeight="1">
      <c r="A144" s="169"/>
      <c r="B144" s="169"/>
      <c r="C144" s="169" t="s">
        <v>160</v>
      </c>
      <c r="D144" s="169"/>
      <c r="E144" s="324">
        <f>sum(E134:E143)</f>
        <v>82605214.52</v>
      </c>
      <c r="F144" s="281"/>
      <c r="G144" s="200"/>
      <c r="H144" s="325"/>
      <c r="I144" s="169"/>
      <c r="J144" s="169"/>
      <c r="K144" s="169"/>
      <c r="L144" s="169"/>
      <c r="M144" s="169"/>
    </row>
    <row r="145" ht="15.75" customHeight="1">
      <c r="A145" s="169"/>
      <c r="B145" s="173" t="s">
        <v>161</v>
      </c>
      <c r="C145" s="169"/>
      <c r="D145" s="169"/>
      <c r="E145" s="169"/>
      <c r="F145" s="169"/>
      <c r="G145" s="200"/>
      <c r="H145" s="175"/>
      <c r="I145" s="169"/>
      <c r="J145" s="169"/>
      <c r="K145" s="169"/>
      <c r="L145" s="169"/>
      <c r="M145" s="169"/>
    </row>
    <row r="146" ht="15.75" customHeight="1">
      <c r="A146" s="169"/>
      <c r="B146" s="169"/>
      <c r="C146" s="169" t="s">
        <v>162</v>
      </c>
      <c r="D146" s="169"/>
      <c r="E146" s="329">
        <v>290849.42</v>
      </c>
      <c r="F146" s="169"/>
      <c r="G146" s="200"/>
      <c r="H146" s="175"/>
      <c r="I146" s="328"/>
      <c r="J146" s="169"/>
      <c r="K146" s="169"/>
      <c r="L146" s="169"/>
      <c r="M146" s="169"/>
    </row>
    <row r="147" ht="15.75" customHeight="1">
      <c r="A147" s="169"/>
      <c r="B147" s="169"/>
      <c r="C147" s="169" t="s">
        <v>163</v>
      </c>
      <c r="D147" s="169"/>
      <c r="E147" s="329">
        <v>1158780.92</v>
      </c>
      <c r="F147" s="169"/>
      <c r="G147" s="200"/>
      <c r="H147" s="175"/>
      <c r="I147" s="328"/>
      <c r="J147" s="169"/>
      <c r="K147" s="169"/>
      <c r="L147" s="169"/>
      <c r="M147" s="169"/>
    </row>
    <row r="148" ht="15.75" customHeight="1">
      <c r="A148" s="169"/>
      <c r="B148" s="169"/>
      <c r="C148" s="169" t="s">
        <v>164</v>
      </c>
      <c r="D148" s="169"/>
      <c r="E148" s="329">
        <v>4390.76</v>
      </c>
      <c r="F148" s="169"/>
      <c r="G148" s="200"/>
      <c r="H148" s="175"/>
      <c r="I148" s="328"/>
      <c r="J148" s="169"/>
      <c r="K148" s="169"/>
      <c r="L148" s="169"/>
      <c r="M148" s="169"/>
    </row>
    <row r="149" ht="15.75" customHeight="1">
      <c r="A149" s="169"/>
      <c r="B149" s="169"/>
      <c r="C149" s="169" t="s">
        <v>165</v>
      </c>
      <c r="D149" s="169"/>
      <c r="E149" s="329">
        <f>SUM(E146:E148)</f>
        <v>1454021.1</v>
      </c>
      <c r="F149" s="169"/>
      <c r="G149" s="200"/>
      <c r="H149" s="175"/>
      <c r="I149" s="328"/>
      <c r="J149" s="169"/>
      <c r="K149" s="169"/>
      <c r="L149" s="169"/>
      <c r="M149" s="169"/>
    </row>
    <row r="150" ht="15.75" customHeight="1">
      <c r="A150" s="330"/>
      <c r="B150" s="331" t="s">
        <v>166</v>
      </c>
      <c r="C150" s="330"/>
      <c r="D150" s="330"/>
      <c r="E150" s="332">
        <f>sum(E132,E144,E149)</f>
        <v>169161571.2</v>
      </c>
      <c r="F150" s="330"/>
      <c r="G150" s="333"/>
      <c r="H150" s="334"/>
      <c r="I150" s="330"/>
      <c r="J150" s="330"/>
      <c r="K150" s="330"/>
      <c r="L150" s="330"/>
      <c r="M150" s="330"/>
    </row>
    <row r="151" ht="15.75" customHeight="1">
      <c r="A151" s="313"/>
      <c r="B151" s="335" t="s">
        <v>167</v>
      </c>
      <c r="C151" s="312"/>
      <c r="D151" s="336"/>
      <c r="E151" s="336"/>
      <c r="F151" s="336"/>
      <c r="G151" s="285"/>
      <c r="H151" s="337"/>
      <c r="I151" s="336">
        <f>Data_Input!R17</f>
        <v>-10000000</v>
      </c>
      <c r="J151" s="336">
        <f>Data_Input!S17</f>
        <v>-10000000</v>
      </c>
      <c r="K151" s="336">
        <f>Data_Input!T17</f>
        <v>-10000000</v>
      </c>
      <c r="L151" s="336">
        <f>Data_Input!U17</f>
        <v>-10000000</v>
      </c>
      <c r="M151" s="336">
        <f>Data_Input!V17</f>
        <v>-10000000</v>
      </c>
    </row>
    <row r="152" ht="15.75" customHeight="1">
      <c r="A152" s="173" t="s">
        <v>168</v>
      </c>
      <c r="C152" s="169"/>
      <c r="D152" s="169"/>
      <c r="E152" s="169"/>
      <c r="F152" s="169"/>
      <c r="G152" s="200"/>
      <c r="H152" s="175"/>
      <c r="I152" s="169"/>
      <c r="J152" s="169"/>
      <c r="K152" s="169"/>
      <c r="L152" s="169"/>
      <c r="M152" s="169"/>
    </row>
    <row r="153" ht="15.75" customHeight="1">
      <c r="A153" s="229"/>
      <c r="B153" s="173" t="s">
        <v>149</v>
      </c>
      <c r="C153" s="169"/>
      <c r="D153" s="283"/>
      <c r="E153" s="338"/>
      <c r="F153" s="281"/>
      <c r="G153" s="282"/>
      <c r="H153" s="325"/>
      <c r="I153" s="297"/>
      <c r="J153" s="297"/>
      <c r="K153" s="297"/>
      <c r="L153" s="297"/>
      <c r="M153" s="297"/>
    </row>
    <row r="154" ht="15.75" customHeight="1">
      <c r="A154" s="229"/>
      <c r="B154" s="169"/>
      <c r="C154" s="169" t="s">
        <v>150</v>
      </c>
      <c r="D154" s="283" t="s">
        <v>169</v>
      </c>
      <c r="E154" s="339">
        <v>0.0</v>
      </c>
      <c r="F154" s="281"/>
      <c r="G154" s="282"/>
      <c r="H154" s="340">
        <v>0.0</v>
      </c>
      <c r="I154" s="297"/>
      <c r="J154" s="297">
        <f t="shared" ref="J154:M154" si="69">if(J$5&lt;=$E154,$E$135/$E154,0)</f>
        <v>0</v>
      </c>
      <c r="K154" s="297">
        <f t="shared" si="69"/>
        <v>0</v>
      </c>
      <c r="L154" s="297">
        <f t="shared" si="69"/>
        <v>0</v>
      </c>
      <c r="M154" s="297">
        <f t="shared" si="69"/>
        <v>0</v>
      </c>
    </row>
    <row r="155" ht="15.75" customHeight="1">
      <c r="A155" s="229"/>
      <c r="B155" s="169"/>
      <c r="C155" s="169" t="s">
        <v>151</v>
      </c>
      <c r="D155" s="283" t="s">
        <v>169</v>
      </c>
      <c r="E155" s="339">
        <v>12.0</v>
      </c>
      <c r="F155" s="281"/>
      <c r="G155" s="282"/>
      <c r="H155" s="340">
        <v>-1544222.26</v>
      </c>
      <c r="I155" s="297">
        <f>-IF(AND(I5&lt;=$E$155,H155  &lt; $E$135),
   MIN(E135/$E$155,$E$135  - H155),
   0
)</f>
        <v>-1501564.332</v>
      </c>
      <c r="J155" s="297">
        <f t="shared" ref="J155:M155" si="70">-if(J$5&lt;=$E155,$E$135/$E155,0)</f>
        <v>-1501564.332</v>
      </c>
      <c r="K155" s="297">
        <f t="shared" si="70"/>
        <v>-1501564.332</v>
      </c>
      <c r="L155" s="297">
        <f t="shared" si="70"/>
        <v>-1501564.332</v>
      </c>
      <c r="M155" s="297">
        <f t="shared" si="70"/>
        <v>-1501564.332</v>
      </c>
    </row>
    <row r="156" ht="15.75" customHeight="1">
      <c r="A156" s="229"/>
      <c r="B156" s="169"/>
      <c r="C156" s="169" t="s">
        <v>152</v>
      </c>
      <c r="D156" s="283" t="s">
        <v>169</v>
      </c>
      <c r="E156" s="339">
        <v>10.0</v>
      </c>
      <c r="F156" s="281"/>
      <c r="G156" s="282"/>
      <c r="H156" s="340">
        <v>-36669.36</v>
      </c>
      <c r="I156" s="297">
        <f t="shared" ref="I156:M156" si="71">-if(I$5&lt;=$E156,$E$136/$E156,0)</f>
        <v>-228333.064</v>
      </c>
      <c r="J156" s="297">
        <f t="shared" si="71"/>
        <v>-228333.064</v>
      </c>
      <c r="K156" s="297">
        <f t="shared" si="71"/>
        <v>-228333.064</v>
      </c>
      <c r="L156" s="297">
        <f t="shared" si="71"/>
        <v>-228333.064</v>
      </c>
      <c r="M156" s="297">
        <f t="shared" si="71"/>
        <v>-228333.064</v>
      </c>
    </row>
    <row r="157" ht="15.75" customHeight="1">
      <c r="A157" s="229"/>
      <c r="B157" s="169"/>
      <c r="C157" s="169" t="s">
        <v>153</v>
      </c>
      <c r="D157" s="283" t="s">
        <v>169</v>
      </c>
      <c r="E157" s="339">
        <v>3.0</v>
      </c>
      <c r="F157" s="281"/>
      <c r="G157" s="282"/>
      <c r="H157" s="340">
        <v>-263427.56</v>
      </c>
      <c r="I157" s="297">
        <f t="shared" ref="I157:M157" si="72">-if(I$5&lt;=$E157,$E$137/$E157,0)</f>
        <v>-295683.1333</v>
      </c>
      <c r="J157" s="297">
        <f t="shared" si="72"/>
        <v>-295683.1333</v>
      </c>
      <c r="K157" s="297">
        <f t="shared" si="72"/>
        <v>-295683.1333</v>
      </c>
      <c r="L157" s="297">
        <f t="shared" si="72"/>
        <v>0</v>
      </c>
      <c r="M157" s="297">
        <f t="shared" si="72"/>
        <v>0</v>
      </c>
    </row>
    <row r="158" ht="15.75" customHeight="1">
      <c r="A158" s="229"/>
      <c r="B158" s="169"/>
      <c r="C158" s="169" t="s">
        <v>154</v>
      </c>
      <c r="D158" s="283" t="s">
        <v>169</v>
      </c>
      <c r="E158" s="339">
        <v>5.0</v>
      </c>
      <c r="F158" s="281"/>
      <c r="G158" s="282"/>
      <c r="H158" s="340">
        <v>-1369484.64</v>
      </c>
      <c r="I158" s="297">
        <f t="shared" ref="I158:M158" si="73">-if(I$5&lt;=$E158,$E$138/$E158,0)</f>
        <v>-1400140.86</v>
      </c>
      <c r="J158" s="297">
        <f t="shared" si="73"/>
        <v>-1400140.86</v>
      </c>
      <c r="K158" s="297">
        <f t="shared" si="73"/>
        <v>-1400140.86</v>
      </c>
      <c r="L158" s="297">
        <f t="shared" si="73"/>
        <v>-1400140.86</v>
      </c>
      <c r="M158" s="297">
        <f t="shared" si="73"/>
        <v>-1400140.86</v>
      </c>
    </row>
    <row r="159" ht="15.75" customHeight="1">
      <c r="A159" s="229"/>
      <c r="B159" s="169"/>
      <c r="C159" s="169" t="s">
        <v>155</v>
      </c>
      <c r="D159" s="283" t="s">
        <v>169</v>
      </c>
      <c r="E159" s="341">
        <v>2.0</v>
      </c>
      <c r="F159" s="281"/>
      <c r="G159" s="282"/>
      <c r="H159" s="296">
        <v>-54042.93</v>
      </c>
      <c r="I159" s="297">
        <f t="shared" ref="I159:M159" si="74">-if(I$5&lt;=$E159,$E$139/$E159,0)</f>
        <v>-65086.15</v>
      </c>
      <c r="J159" s="297">
        <f t="shared" si="74"/>
        <v>-65086.15</v>
      </c>
      <c r="K159" s="297">
        <f t="shared" si="74"/>
        <v>0</v>
      </c>
      <c r="L159" s="297">
        <f t="shared" si="74"/>
        <v>0</v>
      </c>
      <c r="M159" s="297">
        <f t="shared" si="74"/>
        <v>0</v>
      </c>
    </row>
    <row r="160" ht="15.75" customHeight="1">
      <c r="A160" s="229"/>
      <c r="B160" s="169"/>
      <c r="C160" s="169" t="s">
        <v>156</v>
      </c>
      <c r="D160" s="283" t="s">
        <v>169</v>
      </c>
      <c r="E160" s="341">
        <v>2.0</v>
      </c>
      <c r="F160" s="281"/>
      <c r="G160" s="282"/>
      <c r="H160" s="296">
        <v>-291860.49</v>
      </c>
      <c r="I160" s="297">
        <f t="shared" ref="I160:M160" si="75">-if(I$5&lt;=$E160,$E$140/$E160,0)</f>
        <v>-308970.8</v>
      </c>
      <c r="J160" s="297">
        <f t="shared" si="75"/>
        <v>-308970.8</v>
      </c>
      <c r="K160" s="297">
        <f t="shared" si="75"/>
        <v>0</v>
      </c>
      <c r="L160" s="297">
        <f t="shared" si="75"/>
        <v>0</v>
      </c>
      <c r="M160" s="297">
        <f t="shared" si="75"/>
        <v>0</v>
      </c>
    </row>
    <row r="161" ht="15.75" customHeight="1">
      <c r="A161" s="229"/>
      <c r="B161" s="169"/>
      <c r="C161" s="169" t="s">
        <v>157</v>
      </c>
      <c r="D161" s="283" t="s">
        <v>169</v>
      </c>
      <c r="E161" s="341">
        <v>2.0</v>
      </c>
      <c r="F161" s="281"/>
      <c r="G161" s="282"/>
      <c r="H161" s="296">
        <v>-1801424.11</v>
      </c>
      <c r="I161" s="297">
        <f t="shared" ref="I161:M161" si="76">-if(I$5&lt;=$E161,$E$141/$E161,0)</f>
        <v>-2159434.825</v>
      </c>
      <c r="J161" s="297">
        <f t="shared" si="76"/>
        <v>-2159434.825</v>
      </c>
      <c r="K161" s="297">
        <f t="shared" si="76"/>
        <v>0</v>
      </c>
      <c r="L161" s="297">
        <f t="shared" si="76"/>
        <v>0</v>
      </c>
      <c r="M161" s="297">
        <f t="shared" si="76"/>
        <v>0</v>
      </c>
    </row>
    <row r="162" ht="15.75" customHeight="1">
      <c r="A162" s="229"/>
      <c r="B162" s="169"/>
      <c r="C162" s="169" t="s">
        <v>158</v>
      </c>
      <c r="D162" s="283" t="s">
        <v>169</v>
      </c>
      <c r="E162" s="341">
        <v>6.0</v>
      </c>
      <c r="F162" s="281"/>
      <c r="G162" s="282"/>
      <c r="H162" s="296">
        <v>-184999.9</v>
      </c>
      <c r="I162" s="297">
        <f t="shared" ref="I162:M162" si="77">-if(I$5&lt;=$E162,$E$142/$E162,0)</f>
        <v>-177312.8017</v>
      </c>
      <c r="J162" s="297">
        <f t="shared" si="77"/>
        <v>-177312.8017</v>
      </c>
      <c r="K162" s="297">
        <f t="shared" si="77"/>
        <v>-177312.8017</v>
      </c>
      <c r="L162" s="297">
        <f t="shared" si="77"/>
        <v>-177312.8017</v>
      </c>
      <c r="M162" s="297">
        <f t="shared" si="77"/>
        <v>-177312.8017</v>
      </c>
    </row>
    <row r="163" ht="15.75" customHeight="1">
      <c r="A163" s="229"/>
      <c r="B163" s="169"/>
      <c r="C163" s="169" t="s">
        <v>159</v>
      </c>
      <c r="D163" s="283" t="s">
        <v>169</v>
      </c>
      <c r="E163" s="341">
        <v>0.0</v>
      </c>
      <c r="F163" s="281"/>
      <c r="G163" s="282"/>
      <c r="H163" s="296">
        <v>0.0</v>
      </c>
      <c r="I163" s="342">
        <v>0.0</v>
      </c>
      <c r="J163" s="342">
        <v>0.0</v>
      </c>
      <c r="K163" s="342">
        <v>0.0</v>
      </c>
      <c r="L163" s="342">
        <v>0.0</v>
      </c>
      <c r="M163" s="342">
        <v>0.0</v>
      </c>
    </row>
    <row r="164" ht="15.75" customHeight="1">
      <c r="A164" s="343"/>
      <c r="B164" s="344"/>
      <c r="C164" s="344" t="s">
        <v>170</v>
      </c>
      <c r="D164" s="345"/>
      <c r="E164" s="346"/>
      <c r="F164" s="347"/>
      <c r="G164" s="348"/>
      <c r="H164" s="349">
        <f t="shared" ref="H164:M164" si="78">SUM(H154:H163)</f>
        <v>-5546131.25</v>
      </c>
      <c r="I164" s="348">
        <f t="shared" si="78"/>
        <v>-6136525.966</v>
      </c>
      <c r="J164" s="348">
        <f t="shared" si="78"/>
        <v>-6136525.966</v>
      </c>
      <c r="K164" s="348">
        <f t="shared" si="78"/>
        <v>-3603034.191</v>
      </c>
      <c r="L164" s="348">
        <f t="shared" si="78"/>
        <v>-3307351.057</v>
      </c>
      <c r="M164" s="348">
        <f t="shared" si="78"/>
        <v>-3307351.057</v>
      </c>
    </row>
    <row r="165" ht="15.75" customHeight="1">
      <c r="A165" s="229"/>
      <c r="B165" s="173" t="s">
        <v>161</v>
      </c>
      <c r="C165" s="169"/>
      <c r="D165" s="229"/>
      <c r="E165" s="350"/>
      <c r="F165" s="281"/>
      <c r="G165" s="282"/>
      <c r="H165" s="296"/>
      <c r="I165" s="296"/>
      <c r="J165" s="296"/>
      <c r="K165" s="296"/>
      <c r="L165" s="296"/>
      <c r="M165" s="296"/>
    </row>
    <row r="166" ht="15.75" customHeight="1">
      <c r="A166" s="229"/>
      <c r="B166" s="169"/>
      <c r="C166" s="169" t="s">
        <v>162</v>
      </c>
      <c r="D166" s="283" t="s">
        <v>169</v>
      </c>
      <c r="E166" s="341">
        <v>4.0</v>
      </c>
      <c r="F166" s="281"/>
      <c r="G166" s="282"/>
      <c r="H166" s="296">
        <v>-79999.9</v>
      </c>
      <c r="I166" s="297">
        <f t="shared" ref="I166:M166" si="79">-if(I$5&lt;=$E166,$E$146/$E166,0)</f>
        <v>-72712.355</v>
      </c>
      <c r="J166" s="297">
        <f t="shared" si="79"/>
        <v>-72712.355</v>
      </c>
      <c r="K166" s="297">
        <f t="shared" si="79"/>
        <v>-72712.355</v>
      </c>
      <c r="L166" s="297">
        <f t="shared" si="79"/>
        <v>-72712.355</v>
      </c>
      <c r="M166" s="297">
        <f t="shared" si="79"/>
        <v>0</v>
      </c>
    </row>
    <row r="167" ht="15.75" customHeight="1">
      <c r="A167" s="229"/>
      <c r="B167" s="169"/>
      <c r="C167" s="169" t="s">
        <v>163</v>
      </c>
      <c r="D167" s="283" t="s">
        <v>169</v>
      </c>
      <c r="E167" s="341">
        <v>9.0</v>
      </c>
      <c r="F167" s="281"/>
      <c r="G167" s="282"/>
      <c r="H167" s="296">
        <v>-134999.9</v>
      </c>
      <c r="I167" s="297">
        <f t="shared" ref="I167:M167" si="80">-if(I$5&lt;=$E167,$E$147/$E167,0)</f>
        <v>-128753.4356</v>
      </c>
      <c r="J167" s="297">
        <f t="shared" si="80"/>
        <v>-128753.4356</v>
      </c>
      <c r="K167" s="297">
        <f t="shared" si="80"/>
        <v>-128753.4356</v>
      </c>
      <c r="L167" s="297">
        <f t="shared" si="80"/>
        <v>-128753.4356</v>
      </c>
      <c r="M167" s="297">
        <f t="shared" si="80"/>
        <v>-128753.4356</v>
      </c>
    </row>
    <row r="168" ht="15.75" customHeight="1">
      <c r="A168" s="229"/>
      <c r="B168" s="169"/>
      <c r="C168" s="169" t="s">
        <v>164</v>
      </c>
      <c r="D168" s="283" t="s">
        <v>169</v>
      </c>
      <c r="E168" s="341">
        <v>1.0</v>
      </c>
      <c r="F168" s="281"/>
      <c r="G168" s="282"/>
      <c r="H168" s="296">
        <v>-5706.95</v>
      </c>
      <c r="I168" s="297">
        <f t="shared" ref="I168:M168" si="81">-if(I$5&lt;=$E168,$E$148/$E168,0)</f>
        <v>-4390.76</v>
      </c>
      <c r="J168" s="297">
        <f t="shared" si="81"/>
        <v>0</v>
      </c>
      <c r="K168" s="297">
        <f t="shared" si="81"/>
        <v>0</v>
      </c>
      <c r="L168" s="297">
        <f t="shared" si="81"/>
        <v>0</v>
      </c>
      <c r="M168" s="297">
        <f t="shared" si="81"/>
        <v>0</v>
      </c>
    </row>
    <row r="169" ht="15.75" customHeight="1">
      <c r="A169" s="343"/>
      <c r="B169" s="344"/>
      <c r="C169" s="344" t="s">
        <v>171</v>
      </c>
      <c r="D169" s="345"/>
      <c r="E169" s="346"/>
      <c r="F169" s="347"/>
      <c r="G169" s="348"/>
      <c r="H169" s="349">
        <f t="shared" ref="H169:M169" si="82">sum(H166:H168)</f>
        <v>-220706.75</v>
      </c>
      <c r="I169" s="348">
        <f t="shared" si="82"/>
        <v>-205856.5506</v>
      </c>
      <c r="J169" s="348">
        <f t="shared" si="82"/>
        <v>-201465.7906</v>
      </c>
      <c r="K169" s="348">
        <f t="shared" si="82"/>
        <v>-201465.7906</v>
      </c>
      <c r="L169" s="348">
        <f t="shared" si="82"/>
        <v>-201465.7906</v>
      </c>
      <c r="M169" s="348">
        <f t="shared" si="82"/>
        <v>-128753.4356</v>
      </c>
    </row>
    <row r="170" ht="15.75" customHeight="1">
      <c r="A170" s="351"/>
      <c r="B170" s="351" t="s">
        <v>172</v>
      </c>
      <c r="C170" s="222"/>
      <c r="D170" s="351"/>
      <c r="E170" s="352"/>
      <c r="F170" s="353"/>
      <c r="G170" s="354"/>
      <c r="H170" s="355">
        <f t="shared" ref="H170:M170" si="83">H164+H169</f>
        <v>-5766838</v>
      </c>
      <c r="I170" s="354">
        <f t="shared" si="83"/>
        <v>-6342382.516</v>
      </c>
      <c r="J170" s="354">
        <f t="shared" si="83"/>
        <v>-6337991.756</v>
      </c>
      <c r="K170" s="354">
        <f t="shared" si="83"/>
        <v>-3804499.981</v>
      </c>
      <c r="L170" s="354">
        <f t="shared" si="83"/>
        <v>-3508816.848</v>
      </c>
      <c r="M170" s="354">
        <f t="shared" si="83"/>
        <v>-3436104.493</v>
      </c>
    </row>
    <row r="171" ht="15.75" customHeight="1">
      <c r="A171" s="173"/>
      <c r="B171" s="173" t="s">
        <v>173</v>
      </c>
      <c r="C171" s="169"/>
      <c r="D171" s="169"/>
      <c r="E171" s="169"/>
      <c r="F171" s="169"/>
      <c r="G171" s="200"/>
      <c r="H171" s="175"/>
      <c r="I171" s="169"/>
      <c r="J171" s="169"/>
      <c r="K171" s="169"/>
      <c r="L171" s="169"/>
      <c r="M171" s="169"/>
    </row>
    <row r="172" ht="15.75" customHeight="1">
      <c r="A172" s="313"/>
      <c r="B172" s="312"/>
      <c r="C172" s="312" t="s">
        <v>174</v>
      </c>
      <c r="D172" s="356" t="s">
        <v>169</v>
      </c>
      <c r="E172" s="356">
        <v>10.0</v>
      </c>
      <c r="F172" s="312"/>
      <c r="G172" s="289"/>
      <c r="H172" s="260"/>
      <c r="I172" s="357">
        <f>-Drepre.CAPEX!D9</f>
        <v>-1000000</v>
      </c>
      <c r="J172" s="357">
        <f>-Drepre.CAPEX!E9</f>
        <v>-2000000</v>
      </c>
      <c r="K172" s="357">
        <f>-Drepre.CAPEX!F9</f>
        <v>-3000000</v>
      </c>
      <c r="L172" s="357">
        <f>-Drepre.CAPEX!G9</f>
        <v>-4000000</v>
      </c>
      <c r="M172" s="357">
        <f>-Drepre.CAPEX!H9</f>
        <v>-5000000</v>
      </c>
    </row>
    <row r="173" ht="15.75" customHeight="1">
      <c r="A173" s="173" t="s">
        <v>175</v>
      </c>
      <c r="B173" s="169"/>
      <c r="C173" s="169"/>
      <c r="D173" s="169"/>
      <c r="E173" s="169"/>
      <c r="F173" s="169"/>
      <c r="G173" s="200"/>
      <c r="H173" s="175"/>
      <c r="I173" s="169"/>
      <c r="J173" s="169"/>
      <c r="K173" s="169"/>
      <c r="L173" s="169"/>
      <c r="M173" s="169"/>
    </row>
    <row r="174" ht="15.75" customHeight="1">
      <c r="A174" s="173"/>
      <c r="B174" s="313" t="s">
        <v>176</v>
      </c>
      <c r="C174" s="169"/>
      <c r="D174" s="169"/>
      <c r="E174" s="169"/>
      <c r="F174" s="169"/>
      <c r="G174" s="200"/>
      <c r="H174" s="175"/>
      <c r="I174" s="169"/>
      <c r="J174" s="169"/>
      <c r="K174" s="169"/>
      <c r="L174" s="169"/>
      <c r="M174" s="169"/>
    </row>
    <row r="175" ht="15.75" customHeight="1">
      <c r="A175" s="173"/>
      <c r="B175" s="169"/>
      <c r="C175" s="169" t="s">
        <v>177</v>
      </c>
      <c r="D175" s="169"/>
      <c r="E175" s="358">
        <f>H126</f>
        <v>18109417.74</v>
      </c>
      <c r="F175" s="169"/>
      <c r="G175" s="200"/>
      <c r="H175" s="175"/>
      <c r="I175" s="169"/>
      <c r="J175" s="169"/>
      <c r="K175" s="169"/>
      <c r="L175" s="169"/>
      <c r="M175" s="169"/>
    </row>
    <row r="176" ht="15.75" customHeight="1">
      <c r="B176" s="173"/>
      <c r="C176" s="169" t="s">
        <v>178</v>
      </c>
      <c r="D176" s="169"/>
      <c r="E176" s="217">
        <f>sum(E175)</f>
        <v>18109417.74</v>
      </c>
      <c r="F176" s="169"/>
      <c r="G176" s="200"/>
      <c r="H176" s="175"/>
      <c r="I176" s="169"/>
      <c r="J176" s="169"/>
      <c r="K176" s="169"/>
      <c r="L176" s="169"/>
      <c r="M176" s="169"/>
    </row>
    <row r="177" ht="15.75" customHeight="1">
      <c r="B177" s="313" t="s">
        <v>179</v>
      </c>
      <c r="C177" s="169"/>
      <c r="D177" s="169"/>
      <c r="E177" s="169"/>
      <c r="F177" s="169"/>
      <c r="G177" s="200"/>
      <c r="H177" s="175"/>
      <c r="I177" s="169"/>
      <c r="J177" s="169"/>
      <c r="K177" s="169"/>
      <c r="L177" s="169"/>
      <c r="M177" s="169"/>
    </row>
    <row r="178" ht="15.75" customHeight="1">
      <c r="A178" s="169"/>
      <c r="B178" s="169"/>
      <c r="C178" s="169" t="s">
        <v>180</v>
      </c>
      <c r="D178" s="359" t="s">
        <v>108</v>
      </c>
      <c r="E178" s="306">
        <f>E187/E150</f>
        <v>0.4924301304</v>
      </c>
      <c r="F178" s="190"/>
      <c r="G178" s="200"/>
      <c r="H178" s="175"/>
      <c r="I178" s="169"/>
      <c r="J178" s="169"/>
      <c r="K178" s="169"/>
      <c r="L178" s="169"/>
      <c r="M178" s="169"/>
    </row>
    <row r="179" ht="15.75" customHeight="1">
      <c r="A179" s="169"/>
      <c r="B179" s="169"/>
      <c r="C179" s="169"/>
      <c r="D179" s="293"/>
      <c r="E179" s="282"/>
      <c r="F179" s="217"/>
      <c r="G179" s="200"/>
      <c r="H179" s="175"/>
      <c r="I179" s="169"/>
      <c r="J179" s="169"/>
      <c r="K179" s="169"/>
      <c r="L179" s="169"/>
      <c r="M179" s="169"/>
    </row>
    <row r="180" ht="15.75" customHeight="1">
      <c r="A180" s="169"/>
      <c r="B180" s="360">
        <v>1.0</v>
      </c>
      <c r="C180" s="360" t="s">
        <v>181</v>
      </c>
      <c r="D180" s="361" t="s">
        <v>182</v>
      </c>
      <c r="E180" s="362">
        <v>5.717802138E7</v>
      </c>
      <c r="F180" s="217"/>
      <c r="G180" s="200"/>
      <c r="H180" s="175"/>
      <c r="I180" s="169"/>
      <c r="J180" s="169"/>
      <c r="K180" s="169"/>
      <c r="L180" s="169"/>
      <c r="M180" s="169"/>
    </row>
    <row r="181" ht="15.75" customHeight="1">
      <c r="A181" s="169"/>
      <c r="B181" s="360"/>
      <c r="C181" s="360" t="s">
        <v>183</v>
      </c>
      <c r="D181" s="363" t="s">
        <v>108</v>
      </c>
      <c r="E181" s="364">
        <v>0.054</v>
      </c>
      <c r="F181" s="217"/>
      <c r="G181" s="200"/>
      <c r="H181" s="175"/>
      <c r="I181" s="169"/>
      <c r="J181" s="169"/>
      <c r="K181" s="169"/>
      <c r="L181" s="169"/>
      <c r="M181" s="169"/>
    </row>
    <row r="182" ht="15.75" customHeight="1">
      <c r="A182" s="169"/>
      <c r="B182" s="169"/>
      <c r="C182" s="169"/>
      <c r="D182" s="293"/>
      <c r="E182" s="282"/>
      <c r="F182" s="217"/>
      <c r="G182" s="200"/>
      <c r="H182" s="175"/>
      <c r="I182" s="169"/>
      <c r="J182" s="169"/>
      <c r="K182" s="169"/>
      <c r="L182" s="169"/>
      <c r="M182" s="169"/>
    </row>
    <row r="183" ht="15.75" customHeight="1">
      <c r="A183" s="169"/>
      <c r="B183" s="365">
        <v>2.0</v>
      </c>
      <c r="C183" s="365" t="s">
        <v>184</v>
      </c>
      <c r="D183" s="366"/>
      <c r="E183" s="367">
        <v>8012815.46</v>
      </c>
      <c r="F183" s="217"/>
      <c r="G183" s="200"/>
      <c r="H183" s="175"/>
      <c r="I183" s="169"/>
      <c r="J183" s="169"/>
      <c r="K183" s="169"/>
      <c r="L183" s="169"/>
      <c r="M183" s="169"/>
    </row>
    <row r="184" ht="15.75" customHeight="1">
      <c r="A184" s="169"/>
      <c r="B184" s="365"/>
      <c r="C184" s="365" t="s">
        <v>185</v>
      </c>
      <c r="D184" s="366" t="s">
        <v>169</v>
      </c>
      <c r="E184" s="368">
        <v>4.0</v>
      </c>
      <c r="F184" s="217"/>
      <c r="G184" s="200"/>
      <c r="H184" s="175"/>
      <c r="I184" s="169"/>
      <c r="J184" s="169"/>
      <c r="K184" s="169"/>
      <c r="L184" s="169"/>
      <c r="M184" s="169"/>
    </row>
    <row r="185" ht="15.75" customHeight="1">
      <c r="A185" s="169"/>
      <c r="B185" s="365"/>
      <c r="C185" s="365" t="s">
        <v>183</v>
      </c>
      <c r="D185" s="369" t="s">
        <v>108</v>
      </c>
      <c r="E185" s="370">
        <v>0.054</v>
      </c>
      <c r="F185" s="217"/>
      <c r="G185" s="200"/>
      <c r="H185" s="175"/>
      <c r="I185" s="169"/>
      <c r="J185" s="169"/>
      <c r="K185" s="169"/>
      <c r="L185" s="169"/>
      <c r="M185" s="169"/>
    </row>
    <row r="186" ht="15.75" customHeight="1">
      <c r="A186" s="169"/>
      <c r="B186" s="169"/>
      <c r="C186" s="169"/>
      <c r="D186" s="293"/>
      <c r="E186" s="282"/>
      <c r="F186" s="217"/>
      <c r="G186" s="200"/>
      <c r="H186" s="175"/>
      <c r="I186" s="169"/>
      <c r="J186" s="169"/>
      <c r="K186" s="169"/>
      <c r="L186" s="169"/>
      <c r="M186" s="169"/>
    </row>
    <row r="187" ht="15.75" customHeight="1">
      <c r="A187" s="169"/>
      <c r="B187" s="169"/>
      <c r="C187" s="371" t="s">
        <v>186</v>
      </c>
      <c r="D187" s="372" t="s">
        <v>182</v>
      </c>
      <c r="E187" s="373">
        <f>sum(E176,E180,E183)</f>
        <v>83300254.58</v>
      </c>
      <c r="F187" s="169"/>
      <c r="G187" s="200"/>
      <c r="H187" s="175"/>
      <c r="I187" s="169"/>
      <c r="J187" s="169"/>
      <c r="K187" s="169"/>
      <c r="L187" s="169"/>
      <c r="M187" s="169"/>
    </row>
    <row r="188" ht="15.75" customHeight="1">
      <c r="A188" s="169"/>
      <c r="B188" s="169"/>
      <c r="C188" s="298"/>
      <c r="D188" s="298"/>
      <c r="E188" s="298"/>
      <c r="F188" s="169"/>
      <c r="G188" s="200"/>
      <c r="H188" s="175"/>
      <c r="I188" s="169"/>
      <c r="J188" s="169"/>
      <c r="K188" s="169"/>
      <c r="L188" s="169"/>
      <c r="M188" s="169"/>
    </row>
    <row r="189" ht="15.75" customHeight="1">
      <c r="A189" s="169"/>
      <c r="B189" s="360" t="s">
        <v>187</v>
      </c>
      <c r="C189" s="360"/>
      <c r="D189" s="169"/>
      <c r="E189" s="169"/>
      <c r="F189" s="169"/>
      <c r="G189" s="200"/>
      <c r="H189" s="175"/>
      <c r="I189" s="169"/>
      <c r="J189" s="169"/>
      <c r="K189" s="169"/>
      <c r="L189" s="169"/>
      <c r="M189" s="169"/>
    </row>
    <row r="190" ht="15.75" customHeight="1">
      <c r="A190" s="169"/>
      <c r="B190" s="360"/>
      <c r="C190" s="360" t="s">
        <v>188</v>
      </c>
      <c r="D190" s="200"/>
      <c r="E190" s="200"/>
      <c r="F190" s="174"/>
      <c r="G190" s="295"/>
      <c r="H190" s="374"/>
      <c r="I190" s="375">
        <f t="shared" ref="I190:M190" si="84">H193</f>
        <v>57178021.38</v>
      </c>
      <c r="J190" s="375">
        <f t="shared" si="84"/>
        <v>57178021.38</v>
      </c>
      <c r="K190" s="375">
        <f t="shared" si="84"/>
        <v>57178021.38</v>
      </c>
      <c r="L190" s="375">
        <f t="shared" si="84"/>
        <v>57178021.38</v>
      </c>
      <c r="M190" s="375">
        <f t="shared" si="84"/>
        <v>57178021.38</v>
      </c>
    </row>
    <row r="191" ht="15.75" customHeight="1">
      <c r="A191" s="169"/>
      <c r="B191" s="360"/>
      <c r="C191" s="360" t="s">
        <v>189</v>
      </c>
      <c r="D191" s="200" t="s">
        <v>190</v>
      </c>
      <c r="E191" s="200"/>
      <c r="F191" s="174"/>
      <c r="G191" s="295"/>
      <c r="H191" s="376">
        <f>E180</f>
        <v>57178021.38</v>
      </c>
      <c r="I191" s="375">
        <v>0.0</v>
      </c>
      <c r="J191" s="375">
        <v>0.0</v>
      </c>
      <c r="K191" s="375">
        <v>0.0</v>
      </c>
      <c r="L191" s="375">
        <v>0.0</v>
      </c>
      <c r="M191" s="375">
        <v>0.0</v>
      </c>
    </row>
    <row r="192" ht="15.75" customHeight="1">
      <c r="A192" s="229"/>
      <c r="B192" s="377"/>
      <c r="C192" s="377" t="s">
        <v>191</v>
      </c>
      <c r="D192" s="281" t="s">
        <v>192</v>
      </c>
      <c r="E192" s="281"/>
      <c r="F192" s="378"/>
      <c r="G192" s="295"/>
      <c r="H192" s="379"/>
      <c r="I192" s="375">
        <v>0.0</v>
      </c>
      <c r="J192" s="375">
        <v>0.0</v>
      </c>
      <c r="K192" s="375">
        <v>0.0</v>
      </c>
      <c r="L192" s="375">
        <v>0.0</v>
      </c>
      <c r="M192" s="375">
        <v>0.0</v>
      </c>
    </row>
    <row r="193" ht="15.75" customHeight="1">
      <c r="A193" s="229"/>
      <c r="B193" s="377"/>
      <c r="C193" s="377" t="s">
        <v>193</v>
      </c>
      <c r="D193" s="281"/>
      <c r="E193" s="281"/>
      <c r="F193" s="378"/>
      <c r="G193" s="295"/>
      <c r="H193" s="379">
        <f>H191</f>
        <v>57178021.38</v>
      </c>
      <c r="I193" s="375">
        <f t="shared" ref="I193:M193" si="85">sum(I190:I192)</f>
        <v>57178021.38</v>
      </c>
      <c r="J193" s="375">
        <f t="shared" si="85"/>
        <v>57178021.38</v>
      </c>
      <c r="K193" s="375">
        <f t="shared" si="85"/>
        <v>57178021.38</v>
      </c>
      <c r="L193" s="375">
        <f t="shared" si="85"/>
        <v>57178021.38</v>
      </c>
      <c r="M193" s="375">
        <f t="shared" si="85"/>
        <v>57178021.38</v>
      </c>
    </row>
    <row r="194" ht="15.75" customHeight="1">
      <c r="A194" s="229"/>
      <c r="B194" s="380"/>
      <c r="C194" s="380" t="s">
        <v>194</v>
      </c>
      <c r="D194" s="285"/>
      <c r="E194" s="285"/>
      <c r="F194" s="381"/>
      <c r="G194" s="382" t="str">
        <f>-AVERAGE(#REF!)*#REF!</f>
        <v>#REF!</v>
      </c>
      <c r="H194" s="383"/>
      <c r="I194" s="384">
        <f t="shared" ref="I194:M194" si="86">-average(H193:I193)*$E$181</f>
        <v>-3087613.155</v>
      </c>
      <c r="J194" s="384">
        <f t="shared" si="86"/>
        <v>-3087613.155</v>
      </c>
      <c r="K194" s="384">
        <f t="shared" si="86"/>
        <v>-3087613.155</v>
      </c>
      <c r="L194" s="384">
        <f t="shared" si="86"/>
        <v>-3087613.155</v>
      </c>
      <c r="M194" s="384">
        <f t="shared" si="86"/>
        <v>-3087613.155</v>
      </c>
    </row>
    <row r="195" ht="15.75" customHeight="1">
      <c r="A195" s="169"/>
      <c r="B195" s="169"/>
      <c r="C195" s="169"/>
      <c r="D195" s="200"/>
      <c r="E195" s="200"/>
      <c r="F195" s="169"/>
      <c r="G195" s="200"/>
      <c r="H195" s="175"/>
      <c r="I195" s="169"/>
      <c r="J195" s="169"/>
      <c r="K195" s="169"/>
      <c r="L195" s="169"/>
      <c r="M195" s="169"/>
    </row>
    <row r="196" ht="15.75" customHeight="1">
      <c r="A196" s="169"/>
      <c r="B196" s="365" t="s">
        <v>195</v>
      </c>
      <c r="C196" s="365"/>
      <c r="D196" s="200"/>
      <c r="E196" s="200"/>
      <c r="F196" s="169"/>
      <c r="G196" s="200"/>
      <c r="H196" s="175"/>
      <c r="I196" s="169"/>
      <c r="J196" s="169"/>
      <c r="K196" s="169"/>
      <c r="L196" s="169"/>
      <c r="M196" s="169"/>
    </row>
    <row r="197" ht="15.75" customHeight="1">
      <c r="A197" s="169"/>
      <c r="B197" s="365"/>
      <c r="C197" s="365" t="s">
        <v>188</v>
      </c>
      <c r="D197" s="200"/>
      <c r="E197" s="200"/>
      <c r="F197" s="166"/>
      <c r="G197" s="385"/>
      <c r="H197" s="386"/>
      <c r="I197" s="367">
        <f t="shared" ref="I197:M197" si="87">H200</f>
        <v>8012815.46</v>
      </c>
      <c r="J197" s="367">
        <f t="shared" si="87"/>
        <v>6009611.595</v>
      </c>
      <c r="K197" s="367">
        <f t="shared" si="87"/>
        <v>4006407.73</v>
      </c>
      <c r="L197" s="367">
        <f t="shared" si="87"/>
        <v>2003203.865</v>
      </c>
      <c r="M197" s="367">
        <f t="shared" si="87"/>
        <v>-0.0000000004656612873</v>
      </c>
    </row>
    <row r="198" ht="15.75" customHeight="1">
      <c r="A198" s="169"/>
      <c r="B198" s="365"/>
      <c r="C198" s="365" t="s">
        <v>196</v>
      </c>
      <c r="D198" s="200"/>
      <c r="E198" s="200"/>
      <c r="F198" s="166"/>
      <c r="G198" s="385"/>
      <c r="H198" s="386">
        <f>E183</f>
        <v>8012815.46</v>
      </c>
      <c r="I198" s="367"/>
      <c r="J198" s="367"/>
      <c r="K198" s="367"/>
      <c r="L198" s="367"/>
      <c r="M198" s="367"/>
    </row>
    <row r="199" ht="15.75" customHeight="1">
      <c r="A199" s="229"/>
      <c r="B199" s="387"/>
      <c r="C199" s="387" t="s">
        <v>191</v>
      </c>
      <c r="D199" s="281"/>
      <c r="E199" s="281"/>
      <c r="F199" s="388"/>
      <c r="G199" s="385"/>
      <c r="H199" s="386"/>
      <c r="I199" s="367">
        <f t="shared" ref="I199:M199" si="88">if(I$5&lt;=$E$184,-$E$183/$E$184,0)</f>
        <v>-2003203.865</v>
      </c>
      <c r="J199" s="367">
        <f t="shared" si="88"/>
        <v>-2003203.865</v>
      </c>
      <c r="K199" s="367">
        <f t="shared" si="88"/>
        <v>-2003203.865</v>
      </c>
      <c r="L199" s="367">
        <f t="shared" si="88"/>
        <v>-2003203.865</v>
      </c>
      <c r="M199" s="367">
        <f t="shared" si="88"/>
        <v>0</v>
      </c>
    </row>
    <row r="200" ht="15.75" customHeight="1">
      <c r="A200" s="229"/>
      <c r="B200" s="387"/>
      <c r="C200" s="387" t="s">
        <v>197</v>
      </c>
      <c r="D200" s="281"/>
      <c r="E200" s="281"/>
      <c r="F200" s="385">
        <f t="shared" ref="F200:G200" si="89">sum(F198:F199)</f>
        <v>0</v>
      </c>
      <c r="G200" s="385">
        <f t="shared" si="89"/>
        <v>0</v>
      </c>
      <c r="H200" s="386">
        <f>H198</f>
        <v>8012815.46</v>
      </c>
      <c r="I200" s="367">
        <f t="shared" ref="I200:M200" si="90">sum(I197:I199)</f>
        <v>6009611.595</v>
      </c>
      <c r="J200" s="367">
        <f t="shared" si="90"/>
        <v>4006407.73</v>
      </c>
      <c r="K200" s="367">
        <f t="shared" si="90"/>
        <v>2003203.865</v>
      </c>
      <c r="L200" s="367">
        <f t="shared" si="90"/>
        <v>-0.0000000004656612873</v>
      </c>
      <c r="M200" s="367">
        <f t="shared" si="90"/>
        <v>-0.0000000004656612873</v>
      </c>
    </row>
    <row r="201" ht="15.75" customHeight="1">
      <c r="A201" s="229"/>
      <c r="B201" s="389"/>
      <c r="C201" s="389" t="s">
        <v>194</v>
      </c>
      <c r="D201" s="285"/>
      <c r="E201" s="285"/>
      <c r="F201" s="390"/>
      <c r="G201" s="391" t="str">
        <f>-AVERAGE(F200:G200)*#REF!</f>
        <v>#REF!</v>
      </c>
      <c r="H201" s="392"/>
      <c r="I201" s="393">
        <f t="shared" ref="I201:M201" si="91">-average(H200:I200)*$E$185</f>
        <v>-378605.5305</v>
      </c>
      <c r="J201" s="393">
        <f t="shared" si="91"/>
        <v>-270432.5218</v>
      </c>
      <c r="K201" s="393">
        <f t="shared" si="91"/>
        <v>-162259.5131</v>
      </c>
      <c r="L201" s="393">
        <f t="shared" si="91"/>
        <v>-54086.50436</v>
      </c>
      <c r="M201" s="393">
        <f t="shared" si="91"/>
        <v>0</v>
      </c>
    </row>
    <row r="202" ht="15.75" customHeight="1"/>
    <row r="203" ht="15.75" customHeight="1">
      <c r="A203" s="312"/>
      <c r="B203" s="289"/>
      <c r="C203" s="394" t="s">
        <v>198</v>
      </c>
      <c r="D203" s="394"/>
      <c r="E203" s="394"/>
      <c r="F203" s="394"/>
      <c r="G203" s="394"/>
      <c r="H203" s="395">
        <v>-3874174.03</v>
      </c>
      <c r="I203" s="396">
        <f t="shared" ref="I203:M203" si="92">I194+I201</f>
        <v>-3466218.685</v>
      </c>
      <c r="J203" s="396">
        <f t="shared" si="92"/>
        <v>-3358045.676</v>
      </c>
      <c r="K203" s="396">
        <f t="shared" si="92"/>
        <v>-3249872.668</v>
      </c>
      <c r="L203" s="396">
        <f t="shared" si="92"/>
        <v>-3141699.659</v>
      </c>
      <c r="M203" s="396">
        <f t="shared" si="92"/>
        <v>-3087613.155</v>
      </c>
    </row>
    <row r="204" ht="15.75" customHeight="1"/>
    <row r="205" ht="15.75" customHeight="1">
      <c r="A205" s="169"/>
      <c r="B205" s="169"/>
      <c r="H205" s="194"/>
      <c r="J205" s="169"/>
      <c r="K205" s="169"/>
      <c r="L205" s="169"/>
      <c r="M205" s="169"/>
    </row>
    <row r="206" ht="15.75" customHeight="1">
      <c r="A206" s="169"/>
      <c r="B206" s="397"/>
      <c r="C206" s="169"/>
      <c r="D206" s="169"/>
      <c r="E206" s="169"/>
      <c r="F206" s="169"/>
      <c r="G206" s="176"/>
      <c r="H206" s="176"/>
      <c r="I206" s="169"/>
      <c r="J206" s="169"/>
      <c r="K206" s="169"/>
      <c r="L206" s="169"/>
      <c r="M206" s="169"/>
    </row>
    <row r="207" ht="15.75" customHeight="1">
      <c r="A207" s="169"/>
      <c r="B207" s="397"/>
      <c r="C207" s="169"/>
      <c r="D207" s="169"/>
      <c r="E207" s="169"/>
      <c r="F207" s="169"/>
      <c r="G207" s="176"/>
      <c r="H207" s="176"/>
      <c r="I207" s="169"/>
      <c r="J207" s="169"/>
      <c r="K207" s="169"/>
      <c r="L207" s="169"/>
      <c r="M207" s="169"/>
    </row>
    <row r="208" ht="15.75" customHeight="1">
      <c r="A208" s="169"/>
      <c r="B208" s="397"/>
      <c r="C208" s="169"/>
      <c r="D208" s="169"/>
      <c r="E208" s="169"/>
      <c r="F208" s="169"/>
      <c r="G208" s="176"/>
      <c r="H208" s="176"/>
      <c r="I208" s="169"/>
      <c r="J208" s="169"/>
      <c r="K208" s="169"/>
      <c r="L208" s="169"/>
      <c r="M208" s="169"/>
    </row>
    <row r="209" ht="15.75" customHeight="1">
      <c r="A209" s="169"/>
      <c r="B209" s="397"/>
      <c r="C209" s="169"/>
      <c r="D209" s="169"/>
      <c r="E209" s="169"/>
      <c r="F209" s="169"/>
      <c r="G209" s="176"/>
      <c r="H209" s="176"/>
      <c r="I209" s="169"/>
      <c r="J209" s="169"/>
      <c r="K209" s="169"/>
      <c r="L209" s="169"/>
      <c r="M209" s="169"/>
    </row>
    <row r="210" ht="15.75" customHeight="1">
      <c r="A210" s="169"/>
      <c r="B210" s="397"/>
      <c r="C210" s="169"/>
      <c r="D210" s="169"/>
      <c r="E210" s="169"/>
      <c r="F210" s="169"/>
      <c r="G210" s="176"/>
      <c r="H210" s="176"/>
      <c r="I210" s="169"/>
      <c r="J210" s="169"/>
      <c r="K210" s="169"/>
      <c r="L210" s="169"/>
      <c r="M210" s="169"/>
    </row>
    <row r="211" ht="15.75" customHeight="1">
      <c r="A211" s="169"/>
      <c r="B211" s="397"/>
      <c r="C211" s="169"/>
      <c r="D211" s="169"/>
      <c r="E211" s="169"/>
      <c r="F211" s="169"/>
      <c r="G211" s="176"/>
      <c r="H211" s="176"/>
      <c r="I211" s="169"/>
      <c r="J211" s="169"/>
      <c r="K211" s="169"/>
      <c r="L211" s="169"/>
      <c r="M211" s="169"/>
    </row>
    <row r="212" ht="15.75" customHeight="1">
      <c r="A212" s="169"/>
      <c r="B212" s="397"/>
      <c r="C212" s="169"/>
      <c r="D212" s="169"/>
      <c r="E212" s="169"/>
      <c r="F212" s="169"/>
      <c r="G212" s="176"/>
      <c r="H212" s="176"/>
      <c r="I212" s="169"/>
      <c r="J212" s="169"/>
      <c r="K212" s="169"/>
      <c r="L212" s="169"/>
      <c r="M212" s="169"/>
    </row>
    <row r="213" ht="15.75" customHeight="1">
      <c r="A213" s="169"/>
      <c r="B213" s="169"/>
      <c r="C213" s="169"/>
      <c r="D213" s="169"/>
      <c r="E213" s="169"/>
      <c r="F213" s="169"/>
      <c r="G213" s="169"/>
      <c r="H213" s="176"/>
      <c r="I213" s="169"/>
      <c r="J213" s="169"/>
      <c r="K213" s="169"/>
      <c r="L213" s="169"/>
      <c r="M213" s="169"/>
    </row>
    <row r="214" ht="15.75" customHeight="1">
      <c r="A214" s="169"/>
      <c r="B214" s="169"/>
      <c r="H214" s="194"/>
      <c r="K214" s="169"/>
      <c r="L214" s="169"/>
      <c r="M214" s="169"/>
    </row>
    <row r="215" ht="15.75" customHeight="1">
      <c r="A215" s="169"/>
      <c r="B215" s="169"/>
      <c r="H215" s="194"/>
      <c r="K215" s="169"/>
      <c r="L215" s="169"/>
      <c r="M215" s="169"/>
    </row>
    <row r="216" ht="15.75" customHeight="1">
      <c r="A216" s="169"/>
      <c r="B216" s="169"/>
      <c r="H216" s="194"/>
      <c r="K216" s="169"/>
      <c r="L216" s="169"/>
      <c r="M216" s="169"/>
    </row>
    <row r="217" ht="15.75" customHeight="1">
      <c r="A217" s="169"/>
      <c r="B217" s="169"/>
      <c r="H217" s="194"/>
      <c r="K217" s="169"/>
      <c r="L217" s="169"/>
      <c r="M217" s="169"/>
    </row>
    <row r="218" ht="15.75" customHeight="1">
      <c r="A218" s="169"/>
      <c r="B218" s="169"/>
      <c r="H218" s="194"/>
      <c r="K218" s="169"/>
      <c r="L218" s="169"/>
      <c r="M218" s="169"/>
    </row>
    <row r="219" ht="15.75" customHeight="1">
      <c r="A219" s="169"/>
      <c r="B219" s="169"/>
      <c r="H219" s="194"/>
      <c r="K219" s="169"/>
      <c r="L219" s="169"/>
      <c r="M219" s="169"/>
    </row>
    <row r="220" ht="15.75" customHeight="1">
      <c r="A220" s="169"/>
      <c r="B220" s="169"/>
      <c r="H220" s="194"/>
      <c r="K220" s="169"/>
      <c r="L220" s="169"/>
      <c r="M220" s="169"/>
    </row>
    <row r="221" ht="15.75" customHeight="1">
      <c r="A221" s="169"/>
      <c r="B221" s="169"/>
      <c r="C221" s="169"/>
      <c r="D221" s="169"/>
      <c r="E221" s="169"/>
      <c r="F221" s="169"/>
      <c r="G221" s="169"/>
      <c r="H221" s="176"/>
      <c r="I221" s="169"/>
      <c r="J221" s="169"/>
      <c r="K221" s="169"/>
      <c r="L221" s="169"/>
      <c r="M221" s="169"/>
    </row>
    <row r="222" ht="15.75" customHeight="1">
      <c r="A222" s="169"/>
      <c r="B222" s="169"/>
      <c r="H222" s="194"/>
      <c r="K222" s="169"/>
      <c r="L222" s="169"/>
      <c r="M222" s="169"/>
    </row>
    <row r="223" ht="15.75" customHeight="1">
      <c r="A223" s="169"/>
      <c r="B223" s="169"/>
      <c r="H223" s="194"/>
      <c r="K223" s="169"/>
      <c r="L223" s="169"/>
      <c r="M223" s="169"/>
    </row>
    <row r="224" ht="15.75" customHeight="1">
      <c r="A224" s="169"/>
      <c r="B224" s="169"/>
      <c r="H224" s="194"/>
      <c r="K224" s="169"/>
      <c r="L224" s="169"/>
      <c r="M224" s="169"/>
    </row>
    <row r="225" ht="15.75" customHeight="1">
      <c r="A225" s="169"/>
      <c r="B225" s="169"/>
      <c r="H225" s="194"/>
      <c r="K225" s="169"/>
      <c r="L225" s="169"/>
      <c r="M225" s="169"/>
    </row>
    <row r="226" ht="15.75" customHeight="1">
      <c r="A226" s="169"/>
      <c r="B226" s="169"/>
      <c r="H226" s="194"/>
      <c r="K226" s="169"/>
      <c r="L226" s="169"/>
      <c r="M226" s="169"/>
    </row>
    <row r="227" ht="15.75" customHeight="1">
      <c r="A227" s="169"/>
      <c r="B227" s="169"/>
      <c r="H227" s="194"/>
      <c r="K227" s="169"/>
      <c r="L227" s="169"/>
      <c r="M227" s="169"/>
    </row>
    <row r="228" ht="15.75" customHeight="1">
      <c r="A228" s="169"/>
      <c r="B228" s="169"/>
      <c r="H228" s="194"/>
      <c r="K228" s="169"/>
      <c r="L228" s="169"/>
      <c r="M228" s="169"/>
    </row>
    <row r="229" ht="15.75" customHeight="1">
      <c r="A229" s="169"/>
      <c r="B229" s="169"/>
      <c r="H229" s="194"/>
      <c r="K229" s="169"/>
      <c r="L229" s="169"/>
      <c r="M229" s="169"/>
    </row>
    <row r="230" ht="15.75" customHeight="1">
      <c r="A230" s="169"/>
      <c r="B230" s="169"/>
      <c r="H230" s="194"/>
      <c r="K230" s="169"/>
      <c r="L230" s="169"/>
      <c r="M230" s="169"/>
    </row>
    <row r="231" ht="15.75" customHeight="1">
      <c r="A231" s="169"/>
      <c r="B231" s="169"/>
      <c r="H231" s="194"/>
      <c r="K231" s="169"/>
      <c r="L231" s="169"/>
      <c r="M231" s="169"/>
    </row>
    <row r="232" ht="15.75" customHeight="1">
      <c r="A232" s="169"/>
      <c r="B232" s="169"/>
      <c r="H232" s="194"/>
      <c r="K232" s="169"/>
      <c r="L232" s="169"/>
      <c r="M232" s="169"/>
    </row>
    <row r="233" ht="15.75" customHeight="1">
      <c r="A233" s="169"/>
      <c r="B233" s="169"/>
      <c r="H233" s="194"/>
      <c r="K233" s="169"/>
      <c r="L233" s="169"/>
      <c r="M233" s="169"/>
    </row>
    <row r="234" ht="15.75" customHeight="1">
      <c r="A234" s="169"/>
      <c r="B234" s="169"/>
      <c r="C234" s="169"/>
      <c r="D234" s="169"/>
      <c r="E234" s="169"/>
      <c r="F234" s="169"/>
      <c r="G234" s="169"/>
      <c r="H234" s="176"/>
      <c r="I234" s="169"/>
      <c r="J234" s="169"/>
      <c r="K234" s="169"/>
      <c r="L234" s="169"/>
      <c r="M234" s="169"/>
    </row>
    <row r="235" ht="15.75" customHeight="1">
      <c r="A235" s="169"/>
      <c r="B235" s="169"/>
      <c r="C235" s="169"/>
      <c r="D235" s="169"/>
      <c r="E235" s="169"/>
      <c r="F235" s="169"/>
      <c r="G235" s="169"/>
      <c r="H235" s="176"/>
      <c r="I235" s="169"/>
      <c r="J235" s="169"/>
      <c r="K235" s="169"/>
      <c r="L235" s="169"/>
      <c r="M235" s="169"/>
    </row>
    <row r="236" ht="15.75" customHeight="1">
      <c r="A236" s="169"/>
      <c r="B236" s="169"/>
      <c r="C236" s="169"/>
      <c r="D236" s="169"/>
      <c r="E236" s="169"/>
      <c r="F236" s="169"/>
      <c r="G236" s="169"/>
      <c r="H236" s="176"/>
      <c r="I236" s="169"/>
      <c r="J236" s="169"/>
      <c r="K236" s="169"/>
      <c r="L236" s="169"/>
      <c r="M236" s="169"/>
    </row>
    <row r="237" ht="15.75" customHeight="1">
      <c r="A237" s="169"/>
      <c r="B237" s="169"/>
      <c r="C237" s="169"/>
      <c r="D237" s="169"/>
      <c r="E237" s="169"/>
      <c r="F237" s="169"/>
      <c r="G237" s="169"/>
      <c r="H237" s="176"/>
      <c r="I237" s="169"/>
      <c r="J237" s="169"/>
      <c r="K237" s="169"/>
      <c r="L237" s="169"/>
      <c r="M237" s="169"/>
    </row>
    <row r="238" ht="15.75" customHeight="1">
      <c r="A238" s="169"/>
      <c r="B238" s="169"/>
      <c r="C238" s="169"/>
      <c r="D238" s="169"/>
      <c r="E238" s="169"/>
      <c r="F238" s="169"/>
      <c r="G238" s="169"/>
      <c r="H238" s="176"/>
      <c r="I238" s="169"/>
      <c r="J238" s="169"/>
      <c r="K238" s="169"/>
      <c r="L238" s="169"/>
      <c r="M238" s="169"/>
    </row>
    <row r="239" ht="15.75" customHeight="1">
      <c r="A239" s="169"/>
      <c r="B239" s="169"/>
      <c r="C239" s="169"/>
      <c r="D239" s="169"/>
      <c r="E239" s="169"/>
      <c r="F239" s="169"/>
      <c r="G239" s="169"/>
      <c r="H239" s="176"/>
      <c r="I239" s="169"/>
      <c r="J239" s="169"/>
      <c r="K239" s="169"/>
      <c r="L239" s="169"/>
      <c r="M239" s="169"/>
    </row>
    <row r="240" ht="15.75" customHeight="1">
      <c r="A240" s="169"/>
      <c r="B240" s="169"/>
      <c r="C240" s="169"/>
      <c r="D240" s="169"/>
      <c r="E240" s="169"/>
      <c r="F240" s="169"/>
      <c r="G240" s="169"/>
      <c r="H240" s="176"/>
      <c r="I240" s="169"/>
      <c r="J240" s="169"/>
      <c r="K240" s="169"/>
      <c r="L240" s="169"/>
      <c r="M240" s="169"/>
    </row>
    <row r="241" ht="15.75" customHeight="1">
      <c r="A241" s="169"/>
      <c r="B241" s="169"/>
      <c r="C241" s="169"/>
      <c r="D241" s="169"/>
      <c r="E241" s="169"/>
      <c r="F241" s="169"/>
      <c r="G241" s="169"/>
      <c r="H241" s="176"/>
      <c r="I241" s="169"/>
      <c r="J241" s="169"/>
      <c r="K241" s="169"/>
      <c r="L241" s="169"/>
      <c r="M241" s="169"/>
    </row>
    <row r="242" ht="15.75" customHeight="1">
      <c r="A242" s="169"/>
      <c r="B242" s="169"/>
      <c r="C242" s="169"/>
      <c r="D242" s="169"/>
      <c r="E242" s="169"/>
      <c r="F242" s="169"/>
      <c r="G242" s="169"/>
      <c r="H242" s="176"/>
      <c r="I242" s="169"/>
      <c r="J242" s="169"/>
      <c r="K242" s="169"/>
      <c r="L242" s="169"/>
      <c r="M242" s="169"/>
    </row>
    <row r="243" ht="15.75" customHeight="1">
      <c r="A243" s="169"/>
      <c r="B243" s="169"/>
      <c r="C243" s="169"/>
      <c r="D243" s="169"/>
      <c r="E243" s="169"/>
      <c r="F243" s="169"/>
      <c r="G243" s="169"/>
      <c r="H243" s="176"/>
      <c r="I243" s="169"/>
      <c r="J243" s="169"/>
      <c r="K243" s="169"/>
      <c r="L243" s="169"/>
      <c r="M243" s="169"/>
    </row>
    <row r="244" ht="15.75" customHeight="1">
      <c r="A244" s="169"/>
      <c r="B244" s="169"/>
      <c r="C244" s="169"/>
      <c r="D244" s="169"/>
      <c r="E244" s="169"/>
      <c r="F244" s="169"/>
      <c r="G244" s="169"/>
      <c r="H244" s="176"/>
      <c r="I244" s="169"/>
      <c r="J244" s="169"/>
      <c r="K244" s="169"/>
      <c r="L244" s="169"/>
      <c r="M244" s="169"/>
    </row>
    <row r="245" ht="15.75" customHeight="1">
      <c r="A245" s="169"/>
      <c r="B245" s="169"/>
      <c r="C245" s="169"/>
      <c r="D245" s="169"/>
      <c r="E245" s="169"/>
      <c r="F245" s="169"/>
      <c r="G245" s="169"/>
      <c r="H245" s="176"/>
      <c r="I245" s="169"/>
      <c r="J245" s="169"/>
      <c r="K245" s="169"/>
      <c r="L245" s="169"/>
      <c r="M245" s="169"/>
    </row>
    <row r="246" ht="15.75" customHeight="1">
      <c r="A246" s="169"/>
      <c r="B246" s="169"/>
      <c r="C246" s="169"/>
      <c r="D246" s="169"/>
      <c r="E246" s="169"/>
      <c r="F246" s="169"/>
      <c r="G246" s="169"/>
      <c r="H246" s="176"/>
      <c r="I246" s="169"/>
      <c r="J246" s="169"/>
      <c r="K246" s="169"/>
      <c r="L246" s="169"/>
      <c r="M246" s="169"/>
    </row>
    <row r="247" ht="15.75" customHeight="1">
      <c r="A247" s="169"/>
      <c r="B247" s="169"/>
      <c r="C247" s="169"/>
      <c r="D247" s="169"/>
      <c r="E247" s="169"/>
      <c r="F247" s="169"/>
      <c r="G247" s="169"/>
      <c r="H247" s="176"/>
      <c r="I247" s="169"/>
      <c r="J247" s="169"/>
      <c r="K247" s="169"/>
      <c r="L247" s="169"/>
      <c r="M247" s="169"/>
    </row>
    <row r="248" ht="15.75" customHeight="1">
      <c r="A248" s="169"/>
      <c r="B248" s="169"/>
      <c r="C248" s="169"/>
      <c r="D248" s="169"/>
      <c r="E248" s="169"/>
      <c r="F248" s="169"/>
      <c r="G248" s="169"/>
      <c r="H248" s="176"/>
      <c r="I248" s="169"/>
      <c r="J248" s="169"/>
      <c r="K248" s="169"/>
      <c r="L248" s="169"/>
      <c r="M248" s="169"/>
    </row>
    <row r="249" ht="15.75" customHeight="1">
      <c r="A249" s="169"/>
      <c r="B249" s="169"/>
      <c r="C249" s="169"/>
      <c r="D249" s="169"/>
      <c r="E249" s="169"/>
      <c r="F249" s="169"/>
      <c r="G249" s="169"/>
      <c r="H249" s="176"/>
      <c r="I249" s="169"/>
      <c r="J249" s="169"/>
      <c r="K249" s="169"/>
      <c r="L249" s="169"/>
      <c r="M249" s="169"/>
    </row>
    <row r="250" ht="15.75" customHeight="1">
      <c r="A250" s="169"/>
      <c r="B250" s="169"/>
      <c r="C250" s="169"/>
      <c r="D250" s="169"/>
      <c r="E250" s="169"/>
      <c r="F250" s="169"/>
      <c r="G250" s="169"/>
      <c r="H250" s="176"/>
      <c r="I250" s="169"/>
      <c r="J250" s="169"/>
      <c r="K250" s="169"/>
      <c r="L250" s="169"/>
      <c r="M250" s="169"/>
    </row>
    <row r="251" ht="15.75" customHeight="1">
      <c r="A251" s="169"/>
      <c r="B251" s="169"/>
      <c r="C251" s="169"/>
      <c r="D251" s="169"/>
      <c r="E251" s="169"/>
      <c r="F251" s="169"/>
      <c r="G251" s="169"/>
      <c r="H251" s="176"/>
      <c r="I251" s="169"/>
      <c r="J251" s="169"/>
      <c r="K251" s="169"/>
      <c r="L251" s="169"/>
      <c r="M251" s="169"/>
    </row>
    <row r="252" ht="15.75" customHeight="1">
      <c r="A252" s="169"/>
      <c r="B252" s="169"/>
      <c r="C252" s="169"/>
      <c r="D252" s="169"/>
      <c r="E252" s="169"/>
      <c r="F252" s="169"/>
      <c r="G252" s="169"/>
      <c r="H252" s="176"/>
      <c r="I252" s="169"/>
      <c r="J252" s="169"/>
      <c r="K252" s="169"/>
      <c r="L252" s="169"/>
      <c r="M252" s="169"/>
    </row>
    <row r="253" ht="15.75" customHeight="1">
      <c r="A253" s="169"/>
      <c r="B253" s="169"/>
      <c r="C253" s="169"/>
      <c r="D253" s="169"/>
      <c r="E253" s="169"/>
      <c r="F253" s="169"/>
      <c r="G253" s="169"/>
      <c r="H253" s="176"/>
      <c r="I253" s="169"/>
      <c r="J253" s="169"/>
      <c r="K253" s="169"/>
      <c r="L253" s="169"/>
      <c r="M253" s="169"/>
    </row>
    <row r="254" ht="15.75" customHeight="1">
      <c r="A254" s="169"/>
      <c r="B254" s="169"/>
      <c r="C254" s="169"/>
      <c r="D254" s="169"/>
      <c r="E254" s="169"/>
      <c r="F254" s="169"/>
      <c r="G254" s="169"/>
      <c r="H254" s="176"/>
      <c r="I254" s="169"/>
      <c r="J254" s="169"/>
      <c r="K254" s="169"/>
      <c r="L254" s="169"/>
      <c r="M254" s="169"/>
    </row>
    <row r="255" ht="15.75" customHeight="1">
      <c r="A255" s="169"/>
      <c r="B255" s="169"/>
      <c r="C255" s="169"/>
      <c r="D255" s="169"/>
      <c r="E255" s="169"/>
      <c r="F255" s="169"/>
      <c r="G255" s="169"/>
      <c r="H255" s="176"/>
      <c r="I255" s="169"/>
      <c r="J255" s="169"/>
      <c r="K255" s="169"/>
      <c r="L255" s="169"/>
      <c r="M255" s="169"/>
    </row>
    <row r="256" ht="15.75" customHeight="1">
      <c r="A256" s="169"/>
      <c r="B256" s="169"/>
      <c r="C256" s="169"/>
      <c r="D256" s="169"/>
      <c r="E256" s="169"/>
      <c r="F256" s="169"/>
      <c r="G256" s="169"/>
      <c r="H256" s="176"/>
      <c r="I256" s="169"/>
      <c r="J256" s="169"/>
      <c r="K256" s="169"/>
      <c r="L256" s="169"/>
      <c r="M256" s="169"/>
    </row>
    <row r="257" ht="15.75" customHeight="1">
      <c r="A257" s="169"/>
      <c r="B257" s="169"/>
      <c r="C257" s="169"/>
      <c r="D257" s="169"/>
      <c r="E257" s="169"/>
      <c r="F257" s="169"/>
      <c r="G257" s="169"/>
      <c r="H257" s="176"/>
      <c r="I257" s="169"/>
      <c r="J257" s="169"/>
      <c r="K257" s="169"/>
      <c r="L257" s="169"/>
      <c r="M257" s="169"/>
    </row>
    <row r="258" ht="15.75" customHeight="1">
      <c r="A258" s="169"/>
      <c r="B258" s="169"/>
      <c r="C258" s="169"/>
      <c r="D258" s="169"/>
      <c r="E258" s="169"/>
      <c r="F258" s="169"/>
      <c r="G258" s="169"/>
      <c r="H258" s="176"/>
      <c r="I258" s="169"/>
      <c r="J258" s="169"/>
      <c r="K258" s="169"/>
      <c r="L258" s="169"/>
      <c r="M258" s="169"/>
    </row>
    <row r="259" ht="15.75" customHeight="1">
      <c r="A259" s="169"/>
      <c r="B259" s="169"/>
      <c r="C259" s="169"/>
      <c r="D259" s="169"/>
      <c r="E259" s="169"/>
      <c r="F259" s="169"/>
      <c r="G259" s="169"/>
      <c r="H259" s="176"/>
      <c r="I259" s="169"/>
      <c r="J259" s="169"/>
      <c r="K259" s="169"/>
      <c r="L259" s="169"/>
      <c r="M259" s="169"/>
    </row>
    <row r="260" ht="15.75" customHeight="1">
      <c r="A260" s="169"/>
      <c r="B260" s="169"/>
      <c r="C260" s="169"/>
      <c r="D260" s="169"/>
      <c r="E260" s="169"/>
      <c r="F260" s="169"/>
      <c r="G260" s="169"/>
      <c r="H260" s="176"/>
      <c r="I260" s="169"/>
      <c r="J260" s="169"/>
      <c r="K260" s="169"/>
      <c r="L260" s="169"/>
      <c r="M260" s="169"/>
    </row>
    <row r="261" ht="15.75" customHeight="1">
      <c r="A261" s="169"/>
      <c r="B261" s="169"/>
      <c r="C261" s="169"/>
      <c r="D261" s="169"/>
      <c r="E261" s="169"/>
      <c r="F261" s="169"/>
      <c r="G261" s="169"/>
      <c r="H261" s="176"/>
      <c r="I261" s="169"/>
      <c r="J261" s="169"/>
      <c r="K261" s="169"/>
      <c r="L261" s="169"/>
      <c r="M261" s="169"/>
    </row>
    <row r="262" ht="15.75" customHeight="1">
      <c r="A262" s="169"/>
      <c r="B262" s="169"/>
      <c r="C262" s="169"/>
      <c r="D262" s="169"/>
      <c r="E262" s="169"/>
      <c r="F262" s="169"/>
      <c r="G262" s="169"/>
      <c r="H262" s="176"/>
      <c r="I262" s="169"/>
      <c r="J262" s="169"/>
      <c r="K262" s="169"/>
      <c r="L262" s="169"/>
      <c r="M262" s="169"/>
    </row>
    <row r="263" ht="15.75" customHeight="1">
      <c r="A263" s="169"/>
      <c r="B263" s="169"/>
      <c r="C263" s="169"/>
      <c r="D263" s="169"/>
      <c r="E263" s="169"/>
      <c r="F263" s="169"/>
      <c r="G263" s="169"/>
      <c r="H263" s="176"/>
      <c r="I263" s="169"/>
      <c r="J263" s="169"/>
      <c r="K263" s="169"/>
      <c r="L263" s="169"/>
      <c r="M263" s="169"/>
    </row>
    <row r="264" ht="15.75" customHeight="1">
      <c r="A264" s="169"/>
      <c r="B264" s="169"/>
      <c r="C264" s="169"/>
      <c r="D264" s="169"/>
      <c r="E264" s="169"/>
      <c r="F264" s="169"/>
      <c r="G264" s="169"/>
      <c r="H264" s="176"/>
      <c r="I264" s="169"/>
      <c r="J264" s="169"/>
      <c r="K264" s="169"/>
      <c r="L264" s="169"/>
      <c r="M264" s="169"/>
    </row>
    <row r="265" ht="15.75" customHeight="1">
      <c r="A265" s="169"/>
      <c r="B265" s="169"/>
      <c r="C265" s="169"/>
      <c r="D265" s="169"/>
      <c r="E265" s="169"/>
      <c r="F265" s="169"/>
      <c r="G265" s="169"/>
      <c r="H265" s="176"/>
      <c r="I265" s="169"/>
      <c r="J265" s="169"/>
      <c r="K265" s="169"/>
      <c r="L265" s="169"/>
      <c r="M265" s="169"/>
    </row>
    <row r="266" ht="15.75" customHeight="1">
      <c r="A266" s="169"/>
      <c r="B266" s="169"/>
      <c r="C266" s="169"/>
      <c r="D266" s="169"/>
      <c r="E266" s="169"/>
      <c r="F266" s="169"/>
      <c r="G266" s="169"/>
      <c r="H266" s="176"/>
      <c r="I266" s="169"/>
      <c r="J266" s="169"/>
      <c r="K266" s="169"/>
      <c r="L266" s="169"/>
      <c r="M266" s="169"/>
    </row>
    <row r="267" ht="15.75" customHeight="1">
      <c r="A267" s="169"/>
      <c r="B267" s="169"/>
      <c r="C267" s="169"/>
      <c r="D267" s="169"/>
      <c r="E267" s="169"/>
      <c r="F267" s="169"/>
      <c r="G267" s="169"/>
      <c r="H267" s="176"/>
      <c r="I267" s="169"/>
      <c r="J267" s="169"/>
      <c r="K267" s="169"/>
      <c r="L267" s="169"/>
      <c r="M267" s="169"/>
    </row>
    <row r="268" ht="15.75" customHeight="1">
      <c r="A268" s="169"/>
      <c r="B268" s="169"/>
      <c r="C268" s="169"/>
      <c r="D268" s="169"/>
      <c r="E268" s="169"/>
      <c r="F268" s="169"/>
      <c r="G268" s="169"/>
      <c r="H268" s="176"/>
      <c r="I268" s="169"/>
      <c r="J268" s="169"/>
      <c r="K268" s="169"/>
      <c r="L268" s="169"/>
      <c r="M268" s="169"/>
    </row>
    <row r="269" ht="15.75" customHeight="1">
      <c r="A269" s="169"/>
      <c r="B269" s="169"/>
      <c r="C269" s="169"/>
      <c r="D269" s="169"/>
      <c r="E269" s="169"/>
      <c r="F269" s="169"/>
      <c r="G269" s="169"/>
      <c r="H269" s="176"/>
      <c r="I269" s="169"/>
      <c r="J269" s="169"/>
      <c r="K269" s="169"/>
      <c r="L269" s="169"/>
      <c r="M269" s="169"/>
    </row>
    <row r="270" ht="15.75" customHeight="1">
      <c r="A270" s="169"/>
      <c r="B270" s="169"/>
      <c r="C270" s="169"/>
      <c r="D270" s="169"/>
      <c r="E270" s="169"/>
      <c r="F270" s="169"/>
      <c r="G270" s="169"/>
      <c r="H270" s="176"/>
      <c r="I270" s="169"/>
      <c r="J270" s="169"/>
      <c r="K270" s="169"/>
      <c r="L270" s="169"/>
      <c r="M270" s="169"/>
    </row>
    <row r="271" ht="15.75" customHeight="1">
      <c r="A271" s="169"/>
      <c r="B271" s="169"/>
      <c r="C271" s="169"/>
      <c r="D271" s="169"/>
      <c r="E271" s="169"/>
      <c r="F271" s="169"/>
      <c r="G271" s="169"/>
      <c r="H271" s="176"/>
      <c r="I271" s="169"/>
      <c r="J271" s="169"/>
      <c r="K271" s="169"/>
      <c r="L271" s="169"/>
      <c r="M271" s="169"/>
    </row>
    <row r="272" ht="15.75" customHeight="1">
      <c r="A272" s="169"/>
      <c r="B272" s="169"/>
      <c r="C272" s="169"/>
      <c r="D272" s="169"/>
      <c r="E272" s="169"/>
      <c r="F272" s="169"/>
      <c r="G272" s="169"/>
      <c r="H272" s="176"/>
      <c r="I272" s="169"/>
      <c r="J272" s="169"/>
      <c r="K272" s="169"/>
      <c r="L272" s="169"/>
      <c r="M272" s="169"/>
    </row>
    <row r="273" ht="15.75" customHeight="1">
      <c r="A273" s="169"/>
      <c r="B273" s="169"/>
      <c r="C273" s="169"/>
      <c r="D273" s="169"/>
      <c r="E273" s="169"/>
      <c r="F273" s="169"/>
      <c r="G273" s="169"/>
      <c r="H273" s="176"/>
      <c r="I273" s="169"/>
      <c r="J273" s="169"/>
      <c r="K273" s="169"/>
      <c r="L273" s="169"/>
      <c r="M273" s="169"/>
    </row>
    <row r="274" ht="15.75" customHeight="1">
      <c r="A274" s="169"/>
      <c r="B274" s="169"/>
      <c r="C274" s="169"/>
      <c r="D274" s="169"/>
      <c r="E274" s="169"/>
      <c r="F274" s="169"/>
      <c r="G274" s="169"/>
      <c r="H274" s="176"/>
      <c r="I274" s="169"/>
      <c r="J274" s="169"/>
      <c r="K274" s="169"/>
      <c r="L274" s="169"/>
      <c r="M274" s="169"/>
    </row>
    <row r="275" ht="15.75" customHeight="1">
      <c r="A275" s="169"/>
      <c r="B275" s="169"/>
      <c r="C275" s="169"/>
      <c r="D275" s="169"/>
      <c r="E275" s="169"/>
      <c r="F275" s="169"/>
      <c r="G275" s="169"/>
      <c r="H275" s="176"/>
      <c r="I275" s="169"/>
      <c r="J275" s="169"/>
      <c r="K275" s="169"/>
      <c r="L275" s="169"/>
      <c r="M275" s="169"/>
    </row>
    <row r="276" ht="15.75" customHeight="1">
      <c r="A276" s="169"/>
      <c r="B276" s="169"/>
      <c r="C276" s="169"/>
      <c r="D276" s="169"/>
      <c r="E276" s="169"/>
      <c r="F276" s="169"/>
      <c r="G276" s="169"/>
      <c r="H276" s="176"/>
      <c r="I276" s="169"/>
      <c r="J276" s="169"/>
      <c r="K276" s="169"/>
      <c r="L276" s="169"/>
      <c r="M276" s="169"/>
    </row>
    <row r="277" ht="15.75" customHeight="1">
      <c r="A277" s="169"/>
      <c r="B277" s="169"/>
      <c r="C277" s="169"/>
      <c r="D277" s="169"/>
      <c r="E277" s="169"/>
      <c r="F277" s="169"/>
      <c r="G277" s="169"/>
      <c r="H277" s="176"/>
      <c r="I277" s="169"/>
      <c r="J277" s="169"/>
      <c r="K277" s="169"/>
      <c r="L277" s="169"/>
      <c r="M277" s="169"/>
    </row>
    <row r="278" ht="15.75" customHeight="1">
      <c r="A278" s="169"/>
      <c r="B278" s="169"/>
      <c r="C278" s="169"/>
      <c r="D278" s="169"/>
      <c r="E278" s="169"/>
      <c r="F278" s="169"/>
      <c r="G278" s="169"/>
      <c r="H278" s="176"/>
      <c r="I278" s="169"/>
      <c r="J278" s="169"/>
      <c r="K278" s="169"/>
      <c r="L278" s="169"/>
      <c r="M278" s="169"/>
    </row>
    <row r="279" ht="15.75" customHeight="1">
      <c r="A279" s="169"/>
      <c r="B279" s="169"/>
      <c r="C279" s="169"/>
      <c r="D279" s="169"/>
      <c r="E279" s="169"/>
      <c r="F279" s="169"/>
      <c r="G279" s="169"/>
      <c r="H279" s="176"/>
      <c r="I279" s="169"/>
      <c r="J279" s="169"/>
      <c r="K279" s="169"/>
      <c r="L279" s="169"/>
      <c r="M279" s="169"/>
    </row>
    <row r="280" ht="15.75" customHeight="1">
      <c r="A280" s="169"/>
      <c r="B280" s="169"/>
      <c r="C280" s="169"/>
      <c r="D280" s="169"/>
      <c r="E280" s="169"/>
      <c r="F280" s="169"/>
      <c r="G280" s="169"/>
      <c r="H280" s="176"/>
      <c r="I280" s="169"/>
      <c r="J280" s="169"/>
      <c r="K280" s="169"/>
      <c r="L280" s="169"/>
      <c r="M280" s="169"/>
    </row>
    <row r="281" ht="15.75" customHeight="1">
      <c r="A281" s="169"/>
      <c r="B281" s="169"/>
      <c r="C281" s="169"/>
      <c r="D281" s="169"/>
      <c r="E281" s="169"/>
      <c r="F281" s="169"/>
      <c r="G281" s="169"/>
      <c r="H281" s="176"/>
      <c r="I281" s="169"/>
      <c r="J281" s="169"/>
      <c r="K281" s="169"/>
      <c r="L281" s="169"/>
      <c r="M281" s="169"/>
    </row>
    <row r="282" ht="15.75" customHeight="1">
      <c r="A282" s="169"/>
      <c r="B282" s="169"/>
      <c r="C282" s="169"/>
      <c r="D282" s="169"/>
      <c r="E282" s="169"/>
      <c r="F282" s="169"/>
      <c r="G282" s="169"/>
      <c r="H282" s="176"/>
      <c r="I282" s="169"/>
      <c r="J282" s="169"/>
      <c r="K282" s="169"/>
      <c r="L282" s="169"/>
      <c r="M282" s="169"/>
    </row>
    <row r="283" ht="15.75" customHeight="1">
      <c r="A283" s="169"/>
      <c r="B283" s="169"/>
      <c r="C283" s="169"/>
      <c r="D283" s="169"/>
      <c r="E283" s="169"/>
      <c r="F283" s="169"/>
      <c r="G283" s="169"/>
      <c r="H283" s="176"/>
      <c r="I283" s="169"/>
      <c r="J283" s="169"/>
      <c r="K283" s="169"/>
      <c r="L283" s="169"/>
      <c r="M283" s="169"/>
    </row>
    <row r="284" ht="15.75" customHeight="1">
      <c r="A284" s="169"/>
      <c r="B284" s="169"/>
      <c r="C284" s="169"/>
      <c r="D284" s="169"/>
      <c r="E284" s="169"/>
      <c r="F284" s="169"/>
      <c r="G284" s="169"/>
      <c r="H284" s="176"/>
      <c r="I284" s="169"/>
      <c r="J284" s="169"/>
      <c r="K284" s="169"/>
      <c r="L284" s="169"/>
      <c r="M284" s="169"/>
    </row>
    <row r="285" ht="15.75" customHeight="1">
      <c r="A285" s="169"/>
      <c r="B285" s="169"/>
      <c r="C285" s="169"/>
      <c r="D285" s="169"/>
      <c r="E285" s="169"/>
      <c r="F285" s="169"/>
      <c r="G285" s="169"/>
      <c r="H285" s="176"/>
      <c r="I285" s="169"/>
      <c r="J285" s="169"/>
      <c r="K285" s="169"/>
      <c r="L285" s="169"/>
      <c r="M285" s="169"/>
    </row>
    <row r="286" ht="15.75" customHeight="1">
      <c r="A286" s="169"/>
      <c r="B286" s="169"/>
      <c r="C286" s="169"/>
      <c r="D286" s="169"/>
      <c r="E286" s="169"/>
      <c r="F286" s="169"/>
      <c r="G286" s="169"/>
      <c r="H286" s="176"/>
      <c r="I286" s="169"/>
      <c r="J286" s="169"/>
      <c r="K286" s="169"/>
      <c r="L286" s="169"/>
      <c r="M286" s="169"/>
    </row>
    <row r="287" ht="15.75" customHeight="1">
      <c r="A287" s="169"/>
      <c r="B287" s="169"/>
      <c r="C287" s="169"/>
      <c r="D287" s="169"/>
      <c r="E287" s="169"/>
      <c r="F287" s="169"/>
      <c r="G287" s="169"/>
      <c r="H287" s="176"/>
      <c r="I287" s="169"/>
      <c r="J287" s="169"/>
      <c r="K287" s="169"/>
      <c r="L287" s="169"/>
      <c r="M287" s="169"/>
    </row>
    <row r="288" ht="15.75" customHeight="1">
      <c r="A288" s="169"/>
      <c r="B288" s="169"/>
      <c r="C288" s="169"/>
      <c r="D288" s="169"/>
      <c r="E288" s="169"/>
      <c r="F288" s="169"/>
      <c r="G288" s="169"/>
      <c r="H288" s="176"/>
      <c r="I288" s="169"/>
      <c r="J288" s="169"/>
      <c r="K288" s="169"/>
      <c r="L288" s="169"/>
      <c r="M288" s="169"/>
    </row>
    <row r="289" ht="15.75" customHeight="1">
      <c r="A289" s="169"/>
      <c r="B289" s="169"/>
      <c r="C289" s="169"/>
      <c r="D289" s="169"/>
      <c r="E289" s="169"/>
      <c r="F289" s="169"/>
      <c r="G289" s="169"/>
      <c r="H289" s="176"/>
      <c r="I289" s="169"/>
      <c r="J289" s="169"/>
      <c r="K289" s="169"/>
      <c r="L289" s="169"/>
      <c r="M289" s="169"/>
    </row>
    <row r="290" ht="15.75" customHeight="1">
      <c r="A290" s="169"/>
      <c r="B290" s="169"/>
      <c r="C290" s="169"/>
      <c r="D290" s="169"/>
      <c r="E290" s="169"/>
      <c r="F290" s="169"/>
      <c r="G290" s="169"/>
      <c r="H290" s="176"/>
      <c r="I290" s="169"/>
      <c r="J290" s="169"/>
      <c r="K290" s="169"/>
      <c r="L290" s="169"/>
      <c r="M290" s="169"/>
    </row>
    <row r="291" ht="15.75" customHeight="1">
      <c r="A291" s="169"/>
      <c r="B291" s="169"/>
      <c r="C291" s="169"/>
      <c r="D291" s="169"/>
      <c r="E291" s="169"/>
      <c r="F291" s="169"/>
      <c r="G291" s="169"/>
      <c r="H291" s="176"/>
      <c r="I291" s="169"/>
      <c r="J291" s="169"/>
      <c r="K291" s="169"/>
      <c r="L291" s="169"/>
      <c r="M291" s="169"/>
    </row>
    <row r="292" ht="15.75" customHeight="1">
      <c r="A292" s="169"/>
      <c r="B292" s="169"/>
      <c r="C292" s="169"/>
      <c r="D292" s="169"/>
      <c r="E292" s="169"/>
      <c r="F292" s="169"/>
      <c r="G292" s="169"/>
      <c r="H292" s="176"/>
      <c r="I292" s="169"/>
      <c r="J292" s="169"/>
      <c r="K292" s="169"/>
      <c r="L292" s="169"/>
      <c r="M292" s="169"/>
    </row>
    <row r="293" ht="15.75" customHeight="1">
      <c r="A293" s="169"/>
      <c r="B293" s="169"/>
      <c r="C293" s="169"/>
      <c r="D293" s="169"/>
      <c r="E293" s="169"/>
      <c r="F293" s="169"/>
      <c r="G293" s="169"/>
      <c r="H293" s="176"/>
      <c r="I293" s="169"/>
      <c r="J293" s="169"/>
      <c r="K293" s="169"/>
      <c r="L293" s="169"/>
      <c r="M293" s="169"/>
    </row>
    <row r="294" ht="15.75" customHeight="1">
      <c r="A294" s="169"/>
      <c r="B294" s="169"/>
      <c r="C294" s="169"/>
      <c r="D294" s="169"/>
      <c r="E294" s="169"/>
      <c r="F294" s="169"/>
      <c r="G294" s="169"/>
      <c r="H294" s="176"/>
      <c r="I294" s="169"/>
      <c r="J294" s="169"/>
      <c r="K294" s="169"/>
      <c r="L294" s="169"/>
      <c r="M294" s="169"/>
    </row>
    <row r="295" ht="15.75" customHeight="1">
      <c r="A295" s="169"/>
      <c r="B295" s="169"/>
      <c r="C295" s="169"/>
      <c r="D295" s="169"/>
      <c r="E295" s="169"/>
      <c r="F295" s="169"/>
      <c r="G295" s="169"/>
      <c r="H295" s="176"/>
      <c r="I295" s="169"/>
      <c r="J295" s="169"/>
      <c r="K295" s="169"/>
      <c r="L295" s="169"/>
      <c r="M295" s="169"/>
    </row>
    <row r="296" ht="15.75" customHeight="1">
      <c r="A296" s="169"/>
      <c r="B296" s="169"/>
      <c r="C296" s="169"/>
      <c r="D296" s="169"/>
      <c r="E296" s="169"/>
      <c r="F296" s="169"/>
      <c r="G296" s="169"/>
      <c r="H296" s="176"/>
      <c r="I296" s="169"/>
      <c r="J296" s="169"/>
      <c r="K296" s="169"/>
      <c r="L296" s="169"/>
      <c r="M296" s="169"/>
    </row>
    <row r="297" ht="15.75" customHeight="1">
      <c r="A297" s="169"/>
      <c r="B297" s="169"/>
      <c r="C297" s="169"/>
      <c r="D297" s="169"/>
      <c r="E297" s="169"/>
      <c r="F297" s="169"/>
      <c r="G297" s="169"/>
      <c r="H297" s="176"/>
      <c r="I297" s="169"/>
      <c r="J297" s="169"/>
      <c r="K297" s="169"/>
      <c r="L297" s="169"/>
      <c r="M297" s="169"/>
    </row>
    <row r="298" ht="15.75" customHeight="1">
      <c r="A298" s="169"/>
      <c r="B298" s="169"/>
      <c r="C298" s="169"/>
      <c r="D298" s="169"/>
      <c r="E298" s="169"/>
      <c r="F298" s="169"/>
      <c r="G298" s="169"/>
      <c r="H298" s="176"/>
      <c r="I298" s="169"/>
      <c r="J298" s="169"/>
      <c r="K298" s="169"/>
      <c r="L298" s="169"/>
      <c r="M298" s="169"/>
    </row>
    <row r="299" ht="15.75" customHeight="1">
      <c r="A299" s="169"/>
      <c r="B299" s="169"/>
      <c r="C299" s="169"/>
      <c r="D299" s="169"/>
      <c r="E299" s="169"/>
      <c r="F299" s="169"/>
      <c r="G299" s="169"/>
      <c r="H299" s="176"/>
      <c r="I299" s="169"/>
      <c r="J299" s="169"/>
      <c r="K299" s="169"/>
      <c r="L299" s="169"/>
      <c r="M299" s="169"/>
    </row>
    <row r="300" ht="15.75" customHeight="1">
      <c r="A300" s="169"/>
      <c r="B300" s="169"/>
      <c r="C300" s="169"/>
      <c r="D300" s="169"/>
      <c r="E300" s="169"/>
      <c r="F300" s="169"/>
      <c r="G300" s="169"/>
      <c r="H300" s="176"/>
      <c r="I300" s="169"/>
      <c r="J300" s="169"/>
      <c r="K300" s="169"/>
      <c r="L300" s="169"/>
      <c r="M300" s="169"/>
    </row>
    <row r="301" ht="15.75" customHeight="1">
      <c r="A301" s="169"/>
      <c r="B301" s="169"/>
      <c r="C301" s="169"/>
      <c r="D301" s="169"/>
      <c r="E301" s="169"/>
      <c r="F301" s="169"/>
      <c r="G301" s="169"/>
      <c r="H301" s="176"/>
      <c r="I301" s="169"/>
      <c r="J301" s="169"/>
      <c r="K301" s="169"/>
      <c r="L301" s="169"/>
      <c r="M301" s="169"/>
    </row>
    <row r="302" ht="15.75" customHeight="1">
      <c r="A302" s="169"/>
      <c r="B302" s="169"/>
      <c r="C302" s="169"/>
      <c r="D302" s="169"/>
      <c r="E302" s="169"/>
      <c r="F302" s="169"/>
      <c r="G302" s="169"/>
      <c r="H302" s="176"/>
      <c r="I302" s="169"/>
      <c r="J302" s="169"/>
      <c r="K302" s="169"/>
      <c r="L302" s="169"/>
      <c r="M302" s="169"/>
    </row>
    <row r="303" ht="15.75" customHeight="1">
      <c r="A303" s="169"/>
      <c r="B303" s="169"/>
      <c r="C303" s="169"/>
      <c r="D303" s="169"/>
      <c r="E303" s="169"/>
      <c r="F303" s="169"/>
      <c r="G303" s="169"/>
      <c r="H303" s="176"/>
      <c r="I303" s="169"/>
      <c r="J303" s="169"/>
      <c r="K303" s="169"/>
      <c r="L303" s="169"/>
      <c r="M303" s="169"/>
    </row>
    <row r="304" ht="15.75" customHeight="1">
      <c r="A304" s="169"/>
      <c r="B304" s="169"/>
      <c r="C304" s="169"/>
      <c r="D304" s="169"/>
      <c r="E304" s="169"/>
      <c r="F304" s="169"/>
      <c r="G304" s="169"/>
      <c r="H304" s="176"/>
      <c r="I304" s="169"/>
      <c r="J304" s="169"/>
      <c r="K304" s="169"/>
      <c r="L304" s="169"/>
      <c r="M304" s="169"/>
    </row>
    <row r="305" ht="15.75" customHeight="1">
      <c r="A305" s="169"/>
      <c r="B305" s="169"/>
      <c r="C305" s="169"/>
      <c r="D305" s="169"/>
      <c r="E305" s="169"/>
      <c r="F305" s="169"/>
      <c r="G305" s="169"/>
      <c r="H305" s="176"/>
      <c r="I305" s="169"/>
      <c r="J305" s="169"/>
      <c r="K305" s="169"/>
      <c r="L305" s="169"/>
      <c r="M305" s="169"/>
    </row>
    <row r="306" ht="15.75" customHeight="1">
      <c r="A306" s="169"/>
      <c r="B306" s="169"/>
      <c r="C306" s="169"/>
      <c r="D306" s="169"/>
      <c r="E306" s="169"/>
      <c r="F306" s="169"/>
      <c r="G306" s="169"/>
      <c r="H306" s="176"/>
      <c r="I306" s="169"/>
      <c r="J306" s="169"/>
      <c r="K306" s="169"/>
      <c r="L306" s="169"/>
      <c r="M306" s="169"/>
    </row>
    <row r="307" ht="15.75" customHeight="1">
      <c r="A307" s="169"/>
      <c r="B307" s="169"/>
      <c r="C307" s="169"/>
      <c r="D307" s="169"/>
      <c r="E307" s="169"/>
      <c r="F307" s="169"/>
      <c r="G307" s="169"/>
      <c r="H307" s="176"/>
      <c r="I307" s="169"/>
      <c r="J307" s="169"/>
      <c r="K307" s="169"/>
      <c r="L307" s="169"/>
      <c r="M307" s="169"/>
    </row>
    <row r="308" ht="15.75" customHeight="1">
      <c r="A308" s="169"/>
      <c r="B308" s="169"/>
      <c r="C308" s="169"/>
      <c r="D308" s="169"/>
      <c r="E308" s="169"/>
      <c r="F308" s="169"/>
      <c r="G308" s="169"/>
      <c r="H308" s="176"/>
      <c r="I308" s="169"/>
      <c r="J308" s="169"/>
      <c r="K308" s="169"/>
      <c r="L308" s="169"/>
      <c r="M308" s="169"/>
    </row>
    <row r="309" ht="15.75" customHeight="1">
      <c r="A309" s="169"/>
      <c r="B309" s="169"/>
      <c r="C309" s="169"/>
      <c r="D309" s="169"/>
      <c r="E309" s="169"/>
      <c r="F309" s="169"/>
      <c r="G309" s="169"/>
      <c r="H309" s="176"/>
      <c r="I309" s="169"/>
      <c r="J309" s="169"/>
      <c r="K309" s="169"/>
      <c r="L309" s="169"/>
      <c r="M309" s="169"/>
    </row>
    <row r="310" ht="15.75" customHeight="1">
      <c r="A310" s="169"/>
      <c r="B310" s="169"/>
      <c r="C310" s="169"/>
      <c r="D310" s="169"/>
      <c r="E310" s="169"/>
      <c r="F310" s="169"/>
      <c r="G310" s="169"/>
      <c r="H310" s="176"/>
      <c r="I310" s="169"/>
      <c r="J310" s="169"/>
      <c r="K310" s="169"/>
      <c r="L310" s="169"/>
      <c r="M310" s="169"/>
    </row>
    <row r="311" ht="15.75" customHeight="1">
      <c r="A311" s="169"/>
      <c r="B311" s="169"/>
      <c r="C311" s="169"/>
      <c r="D311" s="169"/>
      <c r="E311" s="169"/>
      <c r="F311" s="169"/>
      <c r="G311" s="169"/>
      <c r="H311" s="176"/>
      <c r="I311" s="169"/>
      <c r="J311" s="169"/>
      <c r="K311" s="169"/>
      <c r="L311" s="169"/>
      <c r="M311" s="169"/>
    </row>
    <row r="312" ht="15.75" customHeight="1">
      <c r="A312" s="169"/>
      <c r="B312" s="169"/>
      <c r="C312" s="169"/>
      <c r="D312" s="169"/>
      <c r="E312" s="169"/>
      <c r="F312" s="169"/>
      <c r="G312" s="169"/>
      <c r="H312" s="176"/>
      <c r="I312" s="169"/>
      <c r="J312" s="169"/>
      <c r="K312" s="169"/>
      <c r="L312" s="169"/>
      <c r="M312" s="169"/>
    </row>
    <row r="313" ht="15.75" customHeight="1">
      <c r="A313" s="169"/>
      <c r="B313" s="169"/>
      <c r="C313" s="169"/>
      <c r="D313" s="169"/>
      <c r="E313" s="169"/>
      <c r="F313" s="169"/>
      <c r="G313" s="169"/>
      <c r="H313" s="176"/>
      <c r="I313" s="169"/>
      <c r="J313" s="169"/>
      <c r="K313" s="169"/>
      <c r="L313" s="169"/>
      <c r="M313" s="169"/>
    </row>
    <row r="314" ht="15.75" customHeight="1">
      <c r="A314" s="169"/>
      <c r="B314" s="169"/>
      <c r="C314" s="169"/>
      <c r="D314" s="169"/>
      <c r="E314" s="169"/>
      <c r="F314" s="169"/>
      <c r="G314" s="169"/>
      <c r="H314" s="176"/>
      <c r="I314" s="169"/>
      <c r="J314" s="169"/>
      <c r="K314" s="169"/>
      <c r="L314" s="169"/>
      <c r="M314" s="169"/>
    </row>
    <row r="315" ht="15.75" customHeight="1">
      <c r="A315" s="169"/>
      <c r="B315" s="169"/>
      <c r="C315" s="169"/>
      <c r="D315" s="169"/>
      <c r="E315" s="169"/>
      <c r="F315" s="169"/>
      <c r="G315" s="169"/>
      <c r="H315" s="176"/>
      <c r="I315" s="169"/>
      <c r="J315" s="169"/>
      <c r="K315" s="169"/>
      <c r="L315" s="169"/>
      <c r="M315" s="169"/>
    </row>
    <row r="316" ht="15.75" customHeight="1">
      <c r="A316" s="169"/>
      <c r="B316" s="169"/>
      <c r="C316" s="169"/>
      <c r="D316" s="169"/>
      <c r="E316" s="169"/>
      <c r="F316" s="169"/>
      <c r="G316" s="169"/>
      <c r="H316" s="176"/>
      <c r="I316" s="169"/>
      <c r="J316" s="169"/>
      <c r="K316" s="169"/>
      <c r="L316" s="169"/>
      <c r="M316" s="169"/>
    </row>
    <row r="317" ht="15.75" customHeight="1">
      <c r="A317" s="169"/>
      <c r="B317" s="169"/>
      <c r="C317" s="169"/>
      <c r="D317" s="169"/>
      <c r="E317" s="169"/>
      <c r="F317" s="169"/>
      <c r="G317" s="169"/>
      <c r="H317" s="176"/>
      <c r="I317" s="169"/>
      <c r="J317" s="169"/>
      <c r="K317" s="169"/>
      <c r="L317" s="169"/>
      <c r="M317" s="169"/>
    </row>
    <row r="318" ht="15.75" customHeight="1">
      <c r="A318" s="169"/>
      <c r="B318" s="169"/>
      <c r="C318" s="169"/>
      <c r="D318" s="169"/>
      <c r="E318" s="169"/>
      <c r="F318" s="169"/>
      <c r="G318" s="169"/>
      <c r="H318" s="176"/>
      <c r="I318" s="169"/>
      <c r="J318" s="169"/>
      <c r="K318" s="169"/>
      <c r="L318" s="169"/>
      <c r="M318" s="169"/>
    </row>
    <row r="319" ht="15.75" customHeight="1">
      <c r="A319" s="169"/>
      <c r="B319" s="169"/>
      <c r="C319" s="169"/>
      <c r="D319" s="169"/>
      <c r="E319" s="169"/>
      <c r="F319" s="169"/>
      <c r="G319" s="169"/>
      <c r="H319" s="176"/>
      <c r="I319" s="169"/>
      <c r="J319" s="169"/>
      <c r="K319" s="169"/>
      <c r="L319" s="169"/>
      <c r="M319" s="169"/>
    </row>
    <row r="320" ht="15.75" customHeight="1">
      <c r="A320" s="169"/>
      <c r="B320" s="169"/>
      <c r="C320" s="169"/>
      <c r="D320" s="169"/>
      <c r="E320" s="169"/>
      <c r="F320" s="169"/>
      <c r="G320" s="169"/>
      <c r="H320" s="176"/>
      <c r="I320" s="169"/>
      <c r="J320" s="169"/>
      <c r="K320" s="169"/>
      <c r="L320" s="169"/>
      <c r="M320" s="169"/>
    </row>
    <row r="321" ht="15.75" customHeight="1">
      <c r="A321" s="169"/>
      <c r="B321" s="169"/>
      <c r="C321" s="169"/>
      <c r="D321" s="169"/>
      <c r="E321" s="169"/>
      <c r="F321" s="169"/>
      <c r="G321" s="169"/>
      <c r="H321" s="176"/>
      <c r="I321" s="169"/>
      <c r="J321" s="169"/>
      <c r="K321" s="169"/>
      <c r="L321" s="169"/>
      <c r="M321" s="169"/>
    </row>
    <row r="322" ht="15.75" customHeight="1">
      <c r="A322" s="169"/>
      <c r="B322" s="169"/>
      <c r="C322" s="169"/>
      <c r="D322" s="169"/>
      <c r="E322" s="169"/>
      <c r="F322" s="169"/>
      <c r="G322" s="169"/>
      <c r="H322" s="176"/>
      <c r="I322" s="169"/>
      <c r="J322" s="169"/>
      <c r="K322" s="169"/>
      <c r="L322" s="169"/>
      <c r="M322" s="169"/>
    </row>
    <row r="323" ht="15.75" customHeight="1">
      <c r="A323" s="169"/>
      <c r="B323" s="169"/>
      <c r="C323" s="169"/>
      <c r="D323" s="169"/>
      <c r="E323" s="169"/>
      <c r="F323" s="169"/>
      <c r="G323" s="169"/>
      <c r="H323" s="176"/>
      <c r="I323" s="169"/>
      <c r="J323" s="169"/>
      <c r="K323" s="169"/>
      <c r="L323" s="169"/>
      <c r="M323" s="169"/>
    </row>
    <row r="324" ht="15.75" customHeight="1">
      <c r="A324" s="169"/>
      <c r="B324" s="169"/>
      <c r="C324" s="169"/>
      <c r="D324" s="169"/>
      <c r="E324" s="169"/>
      <c r="F324" s="169"/>
      <c r="G324" s="169"/>
      <c r="H324" s="176"/>
      <c r="I324" s="169"/>
      <c r="J324" s="169"/>
      <c r="K324" s="169"/>
      <c r="L324" s="169"/>
      <c r="M324" s="169"/>
    </row>
    <row r="325" ht="15.75" customHeight="1">
      <c r="A325" s="169"/>
      <c r="B325" s="169"/>
      <c r="C325" s="169"/>
      <c r="D325" s="169"/>
      <c r="E325" s="169"/>
      <c r="F325" s="169"/>
      <c r="G325" s="169"/>
      <c r="H325" s="176"/>
      <c r="I325" s="169"/>
      <c r="J325" s="169"/>
      <c r="K325" s="169"/>
      <c r="L325" s="169"/>
      <c r="M325" s="169"/>
    </row>
    <row r="326" ht="15.75" customHeight="1">
      <c r="A326" s="169"/>
      <c r="B326" s="169"/>
      <c r="C326" s="169"/>
      <c r="D326" s="169"/>
      <c r="E326" s="169"/>
      <c r="F326" s="169"/>
      <c r="G326" s="169"/>
      <c r="H326" s="176"/>
      <c r="I326" s="169"/>
      <c r="J326" s="169"/>
      <c r="K326" s="169"/>
      <c r="L326" s="169"/>
      <c r="M326" s="169"/>
    </row>
    <row r="327" ht="15.75" customHeight="1">
      <c r="A327" s="169"/>
      <c r="B327" s="169"/>
      <c r="C327" s="169"/>
      <c r="D327" s="169"/>
      <c r="E327" s="169"/>
      <c r="F327" s="169"/>
      <c r="G327" s="169"/>
      <c r="H327" s="176"/>
      <c r="I327" s="169"/>
      <c r="J327" s="169"/>
      <c r="K327" s="169"/>
      <c r="L327" s="169"/>
      <c r="M327" s="169"/>
    </row>
    <row r="328" ht="15.75" customHeight="1">
      <c r="A328" s="169"/>
      <c r="B328" s="169"/>
      <c r="C328" s="169"/>
      <c r="D328" s="169"/>
      <c r="E328" s="169"/>
      <c r="F328" s="169"/>
      <c r="G328" s="169"/>
      <c r="H328" s="176"/>
      <c r="I328" s="169"/>
      <c r="J328" s="169"/>
      <c r="K328" s="169"/>
      <c r="L328" s="169"/>
      <c r="M328" s="169"/>
    </row>
    <row r="329" ht="15.75" customHeight="1">
      <c r="A329" s="169"/>
      <c r="B329" s="169"/>
      <c r="C329" s="169"/>
      <c r="D329" s="169"/>
      <c r="E329" s="169"/>
      <c r="F329" s="169"/>
      <c r="G329" s="169"/>
      <c r="H329" s="176"/>
      <c r="I329" s="169"/>
      <c r="J329" s="169"/>
      <c r="K329" s="169"/>
      <c r="L329" s="169"/>
      <c r="M329" s="169"/>
    </row>
    <row r="330" ht="15.75" customHeight="1">
      <c r="A330" s="169"/>
      <c r="B330" s="169"/>
      <c r="C330" s="169"/>
      <c r="D330" s="169"/>
      <c r="E330" s="169"/>
      <c r="F330" s="169"/>
      <c r="G330" s="169"/>
      <c r="H330" s="176"/>
      <c r="I330" s="169"/>
      <c r="J330" s="169"/>
      <c r="K330" s="169"/>
      <c r="L330" s="169"/>
      <c r="M330" s="169"/>
    </row>
    <row r="331" ht="15.75" customHeight="1">
      <c r="A331" s="169"/>
      <c r="B331" s="169"/>
      <c r="C331" s="169"/>
      <c r="D331" s="169"/>
      <c r="E331" s="169"/>
      <c r="F331" s="169"/>
      <c r="G331" s="169"/>
      <c r="H331" s="176"/>
      <c r="I331" s="169"/>
      <c r="J331" s="169"/>
      <c r="K331" s="169"/>
      <c r="L331" s="169"/>
      <c r="M331" s="169"/>
    </row>
    <row r="332" ht="15.75" customHeight="1">
      <c r="A332" s="169"/>
      <c r="B332" s="169"/>
      <c r="C332" s="169"/>
      <c r="D332" s="169"/>
      <c r="E332" s="169"/>
      <c r="F332" s="169"/>
      <c r="G332" s="169"/>
      <c r="H332" s="176"/>
      <c r="I332" s="169"/>
      <c r="J332" s="169"/>
      <c r="K332" s="169"/>
      <c r="L332" s="169"/>
      <c r="M332" s="169"/>
    </row>
    <row r="333" ht="15.75" customHeight="1">
      <c r="A333" s="169"/>
      <c r="B333" s="169"/>
      <c r="C333" s="169"/>
      <c r="D333" s="169"/>
      <c r="E333" s="169"/>
      <c r="F333" s="169"/>
      <c r="G333" s="169"/>
      <c r="H333" s="176"/>
      <c r="I333" s="169"/>
      <c r="J333" s="169"/>
      <c r="K333" s="169"/>
      <c r="L333" s="169"/>
      <c r="M333" s="169"/>
    </row>
    <row r="334" ht="15.75" customHeight="1">
      <c r="A334" s="169"/>
      <c r="B334" s="169"/>
      <c r="C334" s="169"/>
      <c r="D334" s="169"/>
      <c r="E334" s="169"/>
      <c r="F334" s="169"/>
      <c r="G334" s="169"/>
      <c r="H334" s="176"/>
      <c r="I334" s="169"/>
      <c r="J334" s="169"/>
      <c r="K334" s="169"/>
      <c r="L334" s="169"/>
      <c r="M334" s="169"/>
    </row>
    <row r="335" ht="15.75" customHeight="1">
      <c r="A335" s="169"/>
      <c r="B335" s="169"/>
      <c r="C335" s="169"/>
      <c r="D335" s="169"/>
      <c r="E335" s="169"/>
      <c r="F335" s="169"/>
      <c r="G335" s="169"/>
      <c r="H335" s="176"/>
      <c r="I335" s="169"/>
      <c r="J335" s="169"/>
      <c r="K335" s="169"/>
      <c r="L335" s="169"/>
      <c r="M335" s="169"/>
    </row>
    <row r="336" ht="15.75" customHeight="1">
      <c r="A336" s="169"/>
      <c r="B336" s="169"/>
      <c r="C336" s="169"/>
      <c r="D336" s="169"/>
      <c r="E336" s="169"/>
      <c r="F336" s="169"/>
      <c r="G336" s="169"/>
      <c r="H336" s="176"/>
      <c r="I336" s="169"/>
      <c r="J336" s="169"/>
      <c r="K336" s="169"/>
      <c r="L336" s="169"/>
      <c r="M336" s="169"/>
    </row>
    <row r="337" ht="15.75" customHeight="1">
      <c r="A337" s="169"/>
      <c r="B337" s="169"/>
      <c r="C337" s="169"/>
      <c r="D337" s="169"/>
      <c r="E337" s="169"/>
      <c r="F337" s="169"/>
      <c r="G337" s="169"/>
      <c r="H337" s="176"/>
      <c r="I337" s="169"/>
      <c r="J337" s="169"/>
      <c r="K337" s="169"/>
      <c r="L337" s="169"/>
      <c r="M337" s="169"/>
    </row>
    <row r="338" ht="15.75" customHeight="1">
      <c r="A338" s="169"/>
      <c r="B338" s="169"/>
      <c r="C338" s="169"/>
      <c r="D338" s="169"/>
      <c r="E338" s="169"/>
      <c r="F338" s="169"/>
      <c r="G338" s="169"/>
      <c r="H338" s="176"/>
      <c r="I338" s="169"/>
      <c r="J338" s="169"/>
      <c r="K338" s="169"/>
      <c r="L338" s="169"/>
      <c r="M338" s="169"/>
    </row>
    <row r="339" ht="15.75" customHeight="1">
      <c r="A339" s="169"/>
      <c r="B339" s="169"/>
      <c r="C339" s="169"/>
      <c r="D339" s="169"/>
      <c r="E339" s="169"/>
      <c r="F339" s="169"/>
      <c r="G339" s="169"/>
      <c r="H339" s="176"/>
      <c r="I339" s="169"/>
      <c r="J339" s="169"/>
      <c r="K339" s="169"/>
      <c r="L339" s="169"/>
      <c r="M339" s="169"/>
    </row>
    <row r="340" ht="15.75" customHeight="1">
      <c r="A340" s="169"/>
      <c r="B340" s="169"/>
      <c r="C340" s="169"/>
      <c r="D340" s="169"/>
      <c r="E340" s="169"/>
      <c r="F340" s="169"/>
      <c r="G340" s="169"/>
      <c r="H340" s="176"/>
      <c r="I340" s="169"/>
      <c r="J340" s="169"/>
      <c r="K340" s="169"/>
      <c r="L340" s="169"/>
      <c r="M340" s="169"/>
    </row>
    <row r="341" ht="15.75" customHeight="1">
      <c r="A341" s="169"/>
      <c r="B341" s="169"/>
      <c r="C341" s="169"/>
      <c r="D341" s="169"/>
      <c r="E341" s="169"/>
      <c r="F341" s="169"/>
      <c r="G341" s="169"/>
      <c r="H341" s="176"/>
      <c r="I341" s="169"/>
      <c r="J341" s="169"/>
      <c r="K341" s="169"/>
      <c r="L341" s="169"/>
      <c r="M341" s="169"/>
    </row>
    <row r="342" ht="15.75" customHeight="1">
      <c r="A342" s="169"/>
      <c r="B342" s="169"/>
      <c r="C342" s="169"/>
      <c r="D342" s="169"/>
      <c r="E342" s="169"/>
      <c r="F342" s="169"/>
      <c r="G342" s="169"/>
      <c r="H342" s="176"/>
      <c r="I342" s="169"/>
      <c r="J342" s="169"/>
      <c r="K342" s="169"/>
      <c r="L342" s="169"/>
      <c r="M342" s="169"/>
    </row>
    <row r="343" ht="15.75" customHeight="1">
      <c r="A343" s="169"/>
      <c r="B343" s="169"/>
      <c r="C343" s="169"/>
      <c r="D343" s="169"/>
      <c r="E343" s="169"/>
      <c r="F343" s="169"/>
      <c r="G343" s="169"/>
      <c r="H343" s="176"/>
      <c r="I343" s="169"/>
      <c r="J343" s="169"/>
      <c r="K343" s="169"/>
      <c r="L343" s="169"/>
      <c r="M343" s="169"/>
    </row>
    <row r="344" ht="15.75" customHeight="1">
      <c r="A344" s="169"/>
      <c r="B344" s="169"/>
      <c r="C344" s="169"/>
      <c r="D344" s="169"/>
      <c r="E344" s="169"/>
      <c r="F344" s="169"/>
      <c r="G344" s="169"/>
      <c r="H344" s="176"/>
      <c r="I344" s="169"/>
      <c r="J344" s="169"/>
      <c r="K344" s="169"/>
      <c r="L344" s="169"/>
      <c r="M344" s="169"/>
    </row>
    <row r="345" ht="15.75" customHeight="1">
      <c r="A345" s="169"/>
      <c r="B345" s="169"/>
      <c r="C345" s="169"/>
      <c r="D345" s="169"/>
      <c r="E345" s="169"/>
      <c r="F345" s="169"/>
      <c r="G345" s="169"/>
      <c r="H345" s="176"/>
      <c r="I345" s="169"/>
      <c r="J345" s="169"/>
      <c r="K345" s="169"/>
      <c r="L345" s="169"/>
      <c r="M345" s="169"/>
    </row>
    <row r="346" ht="15.75" customHeight="1">
      <c r="A346" s="169"/>
      <c r="B346" s="169"/>
      <c r="C346" s="169"/>
      <c r="D346" s="169"/>
      <c r="E346" s="169"/>
      <c r="F346" s="169"/>
      <c r="G346" s="169"/>
      <c r="H346" s="176"/>
      <c r="I346" s="169"/>
      <c r="J346" s="169"/>
      <c r="K346" s="169"/>
      <c r="L346" s="169"/>
      <c r="M346" s="169"/>
    </row>
    <row r="347" ht="15.75" customHeight="1">
      <c r="A347" s="169"/>
      <c r="B347" s="169"/>
      <c r="C347" s="169"/>
      <c r="D347" s="169"/>
      <c r="E347" s="169"/>
      <c r="F347" s="169"/>
      <c r="G347" s="169"/>
      <c r="H347" s="176"/>
      <c r="I347" s="169"/>
      <c r="J347" s="169"/>
      <c r="K347" s="169"/>
      <c r="L347" s="169"/>
      <c r="M347" s="169"/>
    </row>
    <row r="348" ht="15.75" customHeight="1">
      <c r="A348" s="169"/>
      <c r="B348" s="169"/>
      <c r="C348" s="169"/>
      <c r="D348" s="169"/>
      <c r="E348" s="169"/>
      <c r="F348" s="169"/>
      <c r="G348" s="169"/>
      <c r="H348" s="176"/>
      <c r="I348" s="169"/>
      <c r="J348" s="169"/>
      <c r="K348" s="169"/>
      <c r="L348" s="169"/>
      <c r="M348" s="169"/>
    </row>
    <row r="349" ht="15.75" customHeight="1">
      <c r="A349" s="169"/>
      <c r="B349" s="169"/>
      <c r="C349" s="169"/>
      <c r="D349" s="169"/>
      <c r="E349" s="169"/>
      <c r="F349" s="169"/>
      <c r="G349" s="169"/>
      <c r="H349" s="176"/>
      <c r="I349" s="169"/>
      <c r="J349" s="169"/>
      <c r="K349" s="169"/>
      <c r="L349" s="169"/>
      <c r="M349" s="169"/>
    </row>
    <row r="350" ht="15.75" customHeight="1">
      <c r="A350" s="169"/>
      <c r="B350" s="169"/>
      <c r="C350" s="169"/>
      <c r="D350" s="169"/>
      <c r="E350" s="169"/>
      <c r="F350" s="169"/>
      <c r="G350" s="169"/>
      <c r="H350" s="176"/>
      <c r="I350" s="169"/>
      <c r="J350" s="169"/>
      <c r="K350" s="169"/>
      <c r="L350" s="169"/>
      <c r="M350" s="169"/>
    </row>
    <row r="351" ht="15.75" customHeight="1">
      <c r="A351" s="169"/>
      <c r="B351" s="169"/>
      <c r="C351" s="169"/>
      <c r="D351" s="169"/>
      <c r="E351" s="169"/>
      <c r="F351" s="169"/>
      <c r="G351" s="169"/>
      <c r="H351" s="176"/>
      <c r="I351" s="169"/>
      <c r="J351" s="169"/>
      <c r="K351" s="169"/>
      <c r="L351" s="169"/>
      <c r="M351" s="169"/>
    </row>
    <row r="352" ht="15.75" customHeight="1">
      <c r="A352" s="169"/>
      <c r="B352" s="169"/>
      <c r="C352" s="169"/>
      <c r="D352" s="169"/>
      <c r="E352" s="169"/>
      <c r="F352" s="169"/>
      <c r="G352" s="169"/>
      <c r="H352" s="176"/>
      <c r="I352" s="169"/>
      <c r="J352" s="169"/>
      <c r="K352" s="169"/>
      <c r="L352" s="169"/>
      <c r="M352" s="169"/>
    </row>
    <row r="353" ht="15.75" customHeight="1">
      <c r="A353" s="169"/>
      <c r="B353" s="169"/>
      <c r="C353" s="169"/>
      <c r="D353" s="169"/>
      <c r="E353" s="169"/>
      <c r="F353" s="169"/>
      <c r="G353" s="169"/>
      <c r="H353" s="176"/>
      <c r="I353" s="169"/>
      <c r="J353" s="169"/>
      <c r="K353" s="169"/>
      <c r="L353" s="169"/>
      <c r="M353" s="169"/>
    </row>
    <row r="354" ht="15.75" customHeight="1">
      <c r="A354" s="169"/>
      <c r="B354" s="169"/>
      <c r="C354" s="169"/>
      <c r="D354" s="169"/>
      <c r="E354" s="169"/>
      <c r="F354" s="169"/>
      <c r="G354" s="169"/>
      <c r="H354" s="176"/>
      <c r="I354" s="169"/>
      <c r="J354" s="169"/>
      <c r="K354" s="169"/>
      <c r="L354" s="169"/>
      <c r="M354" s="169"/>
    </row>
    <row r="355" ht="15.75" customHeight="1">
      <c r="A355" s="169"/>
      <c r="B355" s="169"/>
      <c r="C355" s="169"/>
      <c r="D355" s="169"/>
      <c r="E355" s="169"/>
      <c r="F355" s="169"/>
      <c r="G355" s="169"/>
      <c r="H355" s="176"/>
      <c r="I355" s="169"/>
      <c r="J355" s="169"/>
      <c r="K355" s="169"/>
      <c r="L355" s="169"/>
      <c r="M355" s="169"/>
    </row>
    <row r="356" ht="15.75" customHeight="1">
      <c r="A356" s="169"/>
      <c r="B356" s="169"/>
      <c r="C356" s="169"/>
      <c r="D356" s="169"/>
      <c r="E356" s="169"/>
      <c r="F356" s="169"/>
      <c r="G356" s="169"/>
      <c r="H356" s="176"/>
      <c r="I356" s="169"/>
      <c r="J356" s="169"/>
      <c r="K356" s="169"/>
      <c r="L356" s="169"/>
      <c r="M356" s="169"/>
    </row>
    <row r="357" ht="15.75" customHeight="1">
      <c r="A357" s="169"/>
      <c r="B357" s="169"/>
      <c r="C357" s="169"/>
      <c r="D357" s="169"/>
      <c r="E357" s="169"/>
      <c r="F357" s="169"/>
      <c r="G357" s="169"/>
      <c r="H357" s="176"/>
      <c r="I357" s="169"/>
      <c r="J357" s="169"/>
      <c r="K357" s="169"/>
      <c r="L357" s="169"/>
      <c r="M357" s="169"/>
    </row>
    <row r="358" ht="15.75" customHeight="1">
      <c r="A358" s="169"/>
      <c r="B358" s="169"/>
      <c r="C358" s="169"/>
      <c r="D358" s="169"/>
      <c r="E358" s="169"/>
      <c r="F358" s="169"/>
      <c r="G358" s="169"/>
      <c r="H358" s="176"/>
      <c r="I358" s="169"/>
      <c r="J358" s="169"/>
      <c r="K358" s="169"/>
      <c r="L358" s="169"/>
      <c r="M358" s="169"/>
    </row>
    <row r="359" ht="15.75" customHeight="1">
      <c r="A359" s="169"/>
      <c r="B359" s="169"/>
      <c r="C359" s="169"/>
      <c r="D359" s="169"/>
      <c r="E359" s="169"/>
      <c r="F359" s="169"/>
      <c r="G359" s="169"/>
      <c r="H359" s="176"/>
      <c r="I359" s="169"/>
      <c r="J359" s="169"/>
      <c r="K359" s="169"/>
      <c r="L359" s="169"/>
      <c r="M359" s="169"/>
    </row>
    <row r="360" ht="15.75" customHeight="1">
      <c r="A360" s="169"/>
      <c r="B360" s="169"/>
      <c r="C360" s="169"/>
      <c r="D360" s="169"/>
      <c r="E360" s="169"/>
      <c r="F360" s="169"/>
      <c r="G360" s="169"/>
      <c r="H360" s="176"/>
      <c r="I360" s="169"/>
      <c r="J360" s="169"/>
      <c r="K360" s="169"/>
      <c r="L360" s="169"/>
      <c r="M360" s="169"/>
    </row>
    <row r="361" ht="15.75" customHeight="1">
      <c r="A361" s="169"/>
      <c r="B361" s="169"/>
      <c r="C361" s="169"/>
      <c r="D361" s="169"/>
      <c r="E361" s="169"/>
      <c r="F361" s="169"/>
      <c r="G361" s="169"/>
      <c r="H361" s="176"/>
      <c r="I361" s="169"/>
      <c r="J361" s="169"/>
      <c r="K361" s="169"/>
      <c r="L361" s="169"/>
      <c r="M361" s="169"/>
    </row>
    <row r="362" ht="15.75" customHeight="1">
      <c r="A362" s="169"/>
      <c r="B362" s="169"/>
      <c r="C362" s="169"/>
      <c r="D362" s="169"/>
      <c r="E362" s="169"/>
      <c r="F362" s="169"/>
      <c r="G362" s="169"/>
      <c r="H362" s="176"/>
      <c r="I362" s="169"/>
      <c r="J362" s="169"/>
      <c r="K362" s="169"/>
      <c r="L362" s="169"/>
      <c r="M362" s="169"/>
    </row>
    <row r="363" ht="15.75" customHeight="1">
      <c r="A363" s="169"/>
      <c r="B363" s="169"/>
      <c r="C363" s="169"/>
      <c r="D363" s="169"/>
      <c r="E363" s="169"/>
      <c r="F363" s="169"/>
      <c r="G363" s="169"/>
      <c r="H363" s="176"/>
      <c r="I363" s="169"/>
      <c r="J363" s="169"/>
      <c r="K363" s="169"/>
      <c r="L363" s="169"/>
      <c r="M363" s="169"/>
    </row>
    <row r="364" ht="15.75" customHeight="1">
      <c r="A364" s="169"/>
      <c r="B364" s="169"/>
      <c r="C364" s="169"/>
      <c r="D364" s="169"/>
      <c r="E364" s="169"/>
      <c r="F364" s="169"/>
      <c r="G364" s="169"/>
      <c r="H364" s="176"/>
      <c r="I364" s="169"/>
      <c r="J364" s="169"/>
      <c r="K364" s="169"/>
      <c r="L364" s="169"/>
      <c r="M364" s="169"/>
    </row>
    <row r="365" ht="15.75" customHeight="1">
      <c r="A365" s="169"/>
      <c r="B365" s="169"/>
      <c r="C365" s="169"/>
      <c r="D365" s="169"/>
      <c r="E365" s="169"/>
      <c r="F365" s="169"/>
      <c r="G365" s="169"/>
      <c r="H365" s="176"/>
      <c r="I365" s="169"/>
      <c r="J365" s="169"/>
      <c r="K365" s="169"/>
      <c r="L365" s="169"/>
      <c r="M365" s="169"/>
    </row>
    <row r="366" ht="15.75" customHeight="1">
      <c r="A366" s="169"/>
      <c r="B366" s="169"/>
      <c r="C366" s="169"/>
      <c r="D366" s="169"/>
      <c r="E366" s="169"/>
      <c r="F366" s="169"/>
      <c r="G366" s="169"/>
      <c r="H366" s="176"/>
      <c r="I366" s="169"/>
      <c r="J366" s="169"/>
      <c r="K366" s="169"/>
      <c r="L366" s="169"/>
      <c r="M366" s="169"/>
    </row>
    <row r="367" ht="15.75" customHeight="1">
      <c r="A367" s="169"/>
      <c r="B367" s="169"/>
      <c r="C367" s="169"/>
      <c r="D367" s="169"/>
      <c r="E367" s="169"/>
      <c r="F367" s="169"/>
      <c r="G367" s="169"/>
      <c r="H367" s="176"/>
      <c r="I367" s="169"/>
      <c r="J367" s="169"/>
      <c r="K367" s="169"/>
      <c r="L367" s="169"/>
      <c r="M367" s="169"/>
    </row>
    <row r="368" ht="15.75" customHeight="1">
      <c r="A368" s="169"/>
      <c r="B368" s="169"/>
      <c r="C368" s="169"/>
      <c r="D368" s="169"/>
      <c r="E368" s="169"/>
      <c r="F368" s="169"/>
      <c r="G368" s="169"/>
      <c r="H368" s="176"/>
      <c r="I368" s="169"/>
      <c r="J368" s="169"/>
      <c r="K368" s="169"/>
      <c r="L368" s="169"/>
      <c r="M368" s="169"/>
    </row>
    <row r="369" ht="15.75" customHeight="1">
      <c r="A369" s="169"/>
      <c r="B369" s="169"/>
      <c r="C369" s="169"/>
      <c r="D369" s="169"/>
      <c r="E369" s="169"/>
      <c r="F369" s="169"/>
      <c r="G369" s="169"/>
      <c r="H369" s="176"/>
      <c r="I369" s="169"/>
      <c r="J369" s="169"/>
      <c r="K369" s="169"/>
      <c r="L369" s="169"/>
      <c r="M369" s="169"/>
    </row>
    <row r="370" ht="15.75" customHeight="1">
      <c r="A370" s="169"/>
      <c r="B370" s="169"/>
      <c r="C370" s="169"/>
      <c r="D370" s="169"/>
      <c r="E370" s="169"/>
      <c r="F370" s="169"/>
      <c r="G370" s="169"/>
      <c r="H370" s="176"/>
      <c r="I370" s="169"/>
      <c r="J370" s="169"/>
      <c r="K370" s="169"/>
      <c r="L370" s="169"/>
      <c r="M370" s="169"/>
    </row>
    <row r="371" ht="15.75" customHeight="1">
      <c r="A371" s="169"/>
      <c r="B371" s="169"/>
      <c r="C371" s="169"/>
      <c r="D371" s="169"/>
      <c r="E371" s="169"/>
      <c r="F371" s="169"/>
      <c r="G371" s="169"/>
      <c r="H371" s="176"/>
      <c r="I371" s="169"/>
      <c r="J371" s="169"/>
      <c r="K371" s="169"/>
      <c r="L371" s="169"/>
      <c r="M371" s="169"/>
    </row>
    <row r="372" ht="15.75" customHeight="1">
      <c r="A372" s="169"/>
      <c r="B372" s="169"/>
      <c r="C372" s="169"/>
      <c r="D372" s="169"/>
      <c r="E372" s="169"/>
      <c r="F372" s="169"/>
      <c r="G372" s="169"/>
      <c r="H372" s="176"/>
      <c r="I372" s="169"/>
      <c r="J372" s="169"/>
      <c r="K372" s="169"/>
      <c r="L372" s="169"/>
      <c r="M372" s="169"/>
    </row>
    <row r="373" ht="15.75" customHeight="1">
      <c r="A373" s="169"/>
      <c r="B373" s="169"/>
      <c r="C373" s="169"/>
      <c r="D373" s="169"/>
      <c r="E373" s="169"/>
      <c r="F373" s="169"/>
      <c r="G373" s="169"/>
      <c r="H373" s="176"/>
      <c r="I373" s="169"/>
      <c r="J373" s="169"/>
      <c r="K373" s="169"/>
      <c r="L373" s="169"/>
      <c r="M373" s="169"/>
    </row>
    <row r="374" ht="15.75" customHeight="1">
      <c r="A374" s="169"/>
      <c r="B374" s="169"/>
      <c r="C374" s="169"/>
      <c r="D374" s="169"/>
      <c r="E374" s="169"/>
      <c r="F374" s="169"/>
      <c r="G374" s="169"/>
      <c r="H374" s="176"/>
      <c r="I374" s="169"/>
      <c r="J374" s="169"/>
      <c r="K374" s="169"/>
      <c r="L374" s="169"/>
      <c r="M374" s="169"/>
    </row>
    <row r="375" ht="15.75" customHeight="1">
      <c r="A375" s="169"/>
      <c r="B375" s="169"/>
      <c r="C375" s="169"/>
      <c r="D375" s="169"/>
      <c r="E375" s="169"/>
      <c r="F375" s="169"/>
      <c r="G375" s="169"/>
      <c r="H375" s="176"/>
      <c r="I375" s="169"/>
      <c r="J375" s="169"/>
      <c r="K375" s="169"/>
      <c r="L375" s="169"/>
      <c r="M375" s="169"/>
    </row>
    <row r="376" ht="15.75" customHeight="1">
      <c r="A376" s="169"/>
      <c r="B376" s="169"/>
      <c r="C376" s="169"/>
      <c r="D376" s="169"/>
      <c r="E376" s="169"/>
      <c r="F376" s="169"/>
      <c r="G376" s="169"/>
      <c r="H376" s="176"/>
      <c r="I376" s="169"/>
      <c r="J376" s="169"/>
      <c r="K376" s="169"/>
      <c r="L376" s="169"/>
      <c r="M376" s="169"/>
    </row>
    <row r="377" ht="15.75" customHeight="1">
      <c r="A377" s="169"/>
      <c r="B377" s="169"/>
      <c r="C377" s="169"/>
      <c r="D377" s="169"/>
      <c r="E377" s="169"/>
      <c r="F377" s="169"/>
      <c r="G377" s="169"/>
      <c r="H377" s="176"/>
      <c r="I377" s="169"/>
      <c r="J377" s="169"/>
      <c r="K377" s="169"/>
      <c r="L377" s="169"/>
      <c r="M377" s="169"/>
    </row>
    <row r="378" ht="15.75" customHeight="1">
      <c r="A378" s="169"/>
      <c r="B378" s="169"/>
      <c r="C378" s="169"/>
      <c r="D378" s="169"/>
      <c r="E378" s="169"/>
      <c r="F378" s="169"/>
      <c r="G378" s="169"/>
      <c r="H378" s="176"/>
      <c r="I378" s="169"/>
      <c r="J378" s="169"/>
      <c r="K378" s="169"/>
      <c r="L378" s="169"/>
      <c r="M378" s="169"/>
    </row>
    <row r="379" ht="15.75" customHeight="1">
      <c r="A379" s="169"/>
      <c r="B379" s="169"/>
      <c r="C379" s="169"/>
      <c r="D379" s="169"/>
      <c r="E379" s="169"/>
      <c r="F379" s="169"/>
      <c r="G379" s="169"/>
      <c r="H379" s="176"/>
      <c r="I379" s="169"/>
      <c r="J379" s="169"/>
      <c r="K379" s="169"/>
      <c r="L379" s="169"/>
      <c r="M379" s="169"/>
    </row>
    <row r="380" ht="15.75" customHeight="1">
      <c r="A380" s="169"/>
      <c r="B380" s="169"/>
      <c r="C380" s="169"/>
      <c r="D380" s="169"/>
      <c r="E380" s="169"/>
      <c r="F380" s="169"/>
      <c r="G380" s="169"/>
      <c r="H380" s="176"/>
      <c r="I380" s="169"/>
      <c r="J380" s="169"/>
      <c r="K380" s="169"/>
      <c r="L380" s="169"/>
      <c r="M380" s="169"/>
    </row>
    <row r="381" ht="15.75" customHeight="1">
      <c r="A381" s="169"/>
      <c r="B381" s="169"/>
      <c r="C381" s="169"/>
      <c r="D381" s="169"/>
      <c r="E381" s="169"/>
      <c r="F381" s="169"/>
      <c r="G381" s="169"/>
      <c r="H381" s="176"/>
      <c r="I381" s="169"/>
      <c r="J381" s="169"/>
      <c r="K381" s="169"/>
      <c r="L381" s="169"/>
      <c r="M381" s="169"/>
    </row>
    <row r="382" ht="15.75" customHeight="1">
      <c r="A382" s="169"/>
      <c r="B382" s="169"/>
      <c r="C382" s="169"/>
      <c r="D382" s="169"/>
      <c r="E382" s="169"/>
      <c r="F382" s="169"/>
      <c r="G382" s="169"/>
      <c r="H382" s="176"/>
      <c r="I382" s="169"/>
      <c r="J382" s="169"/>
      <c r="K382" s="169"/>
      <c r="L382" s="169"/>
      <c r="M382" s="169"/>
    </row>
    <row r="383" ht="15.75" customHeight="1">
      <c r="A383" s="169"/>
      <c r="B383" s="169"/>
      <c r="C383" s="169"/>
      <c r="D383" s="169"/>
      <c r="E383" s="169"/>
      <c r="F383" s="169"/>
      <c r="G383" s="169"/>
      <c r="H383" s="176"/>
      <c r="I383" s="169"/>
      <c r="J383" s="169"/>
      <c r="K383" s="169"/>
      <c r="L383" s="169"/>
      <c r="M383" s="169"/>
    </row>
    <row r="384" ht="15.75" customHeight="1">
      <c r="A384" s="169"/>
      <c r="B384" s="169"/>
      <c r="C384" s="169"/>
      <c r="D384" s="169"/>
      <c r="E384" s="169"/>
      <c r="F384" s="169"/>
      <c r="G384" s="169"/>
      <c r="H384" s="176"/>
      <c r="I384" s="169"/>
      <c r="J384" s="169"/>
      <c r="K384" s="169"/>
      <c r="L384" s="169"/>
      <c r="M384" s="169"/>
    </row>
    <row r="385" ht="15.75" customHeight="1">
      <c r="A385" s="169"/>
      <c r="B385" s="169"/>
      <c r="C385" s="169"/>
      <c r="D385" s="169"/>
      <c r="E385" s="169"/>
      <c r="F385" s="169"/>
      <c r="G385" s="169"/>
      <c r="H385" s="176"/>
      <c r="I385" s="169"/>
      <c r="J385" s="169"/>
      <c r="K385" s="169"/>
      <c r="L385" s="169"/>
      <c r="M385" s="169"/>
    </row>
    <row r="386" ht="15.75" customHeight="1">
      <c r="A386" s="169"/>
      <c r="B386" s="169"/>
      <c r="C386" s="169"/>
      <c r="D386" s="169"/>
      <c r="E386" s="169"/>
      <c r="F386" s="169"/>
      <c r="G386" s="169"/>
      <c r="H386" s="176"/>
      <c r="I386" s="169"/>
      <c r="J386" s="169"/>
      <c r="K386" s="169"/>
      <c r="L386" s="169"/>
      <c r="M386" s="169"/>
    </row>
    <row r="387" ht="15.75" customHeight="1">
      <c r="A387" s="169"/>
      <c r="B387" s="169"/>
      <c r="C387" s="169"/>
      <c r="D387" s="169"/>
      <c r="E387" s="169"/>
      <c r="F387" s="169"/>
      <c r="G387" s="169"/>
      <c r="H387" s="176"/>
      <c r="I387" s="169"/>
      <c r="J387" s="169"/>
      <c r="K387" s="169"/>
      <c r="L387" s="169"/>
      <c r="M387" s="169"/>
    </row>
    <row r="388" ht="15.75" customHeight="1">
      <c r="A388" s="169"/>
      <c r="B388" s="169"/>
      <c r="C388" s="169"/>
      <c r="D388" s="169"/>
      <c r="E388" s="169"/>
      <c r="F388" s="169"/>
      <c r="G388" s="169"/>
      <c r="H388" s="176"/>
      <c r="I388" s="169"/>
      <c r="J388" s="169"/>
      <c r="K388" s="169"/>
      <c r="L388" s="169"/>
      <c r="M388" s="169"/>
    </row>
    <row r="389" ht="15.75" customHeight="1">
      <c r="A389" s="169"/>
      <c r="B389" s="169"/>
      <c r="C389" s="169"/>
      <c r="D389" s="169"/>
      <c r="E389" s="169"/>
      <c r="F389" s="169"/>
      <c r="G389" s="169"/>
      <c r="H389" s="176"/>
      <c r="I389" s="169"/>
      <c r="J389" s="169"/>
      <c r="K389" s="169"/>
      <c r="L389" s="169"/>
      <c r="M389" s="169"/>
    </row>
    <row r="390" ht="15.75" customHeight="1">
      <c r="A390" s="169"/>
      <c r="B390" s="169"/>
      <c r="C390" s="169"/>
      <c r="D390" s="169"/>
      <c r="E390" s="169"/>
      <c r="F390" s="169"/>
      <c r="G390" s="169"/>
      <c r="H390" s="176"/>
      <c r="I390" s="169"/>
      <c r="J390" s="169"/>
      <c r="K390" s="169"/>
      <c r="L390" s="169"/>
      <c r="M390" s="169"/>
    </row>
    <row r="391" ht="15.75" customHeight="1">
      <c r="A391" s="169"/>
      <c r="B391" s="169"/>
      <c r="C391" s="169"/>
      <c r="D391" s="169"/>
      <c r="E391" s="169"/>
      <c r="F391" s="169"/>
      <c r="G391" s="169"/>
      <c r="H391" s="176"/>
      <c r="I391" s="169"/>
      <c r="J391" s="169"/>
      <c r="K391" s="169"/>
      <c r="L391" s="169"/>
      <c r="M391" s="169"/>
    </row>
    <row r="392" ht="15.75" customHeight="1">
      <c r="A392" s="169"/>
      <c r="B392" s="169"/>
      <c r="C392" s="169"/>
      <c r="D392" s="169"/>
      <c r="E392" s="169"/>
      <c r="F392" s="169"/>
      <c r="G392" s="169"/>
      <c r="H392" s="176"/>
      <c r="I392" s="169"/>
      <c r="J392" s="169"/>
      <c r="K392" s="169"/>
      <c r="L392" s="169"/>
      <c r="M392" s="169"/>
    </row>
    <row r="393" ht="15.75" customHeight="1">
      <c r="A393" s="169"/>
      <c r="B393" s="169"/>
      <c r="C393" s="169"/>
      <c r="D393" s="169"/>
      <c r="E393" s="169"/>
      <c r="F393" s="169"/>
      <c r="G393" s="169"/>
      <c r="H393" s="176"/>
      <c r="I393" s="169"/>
      <c r="J393" s="169"/>
      <c r="K393" s="169"/>
      <c r="L393" s="169"/>
      <c r="M393" s="169"/>
    </row>
    <row r="394" ht="15.75" customHeight="1">
      <c r="A394" s="169"/>
      <c r="B394" s="169"/>
      <c r="C394" s="169"/>
      <c r="D394" s="169"/>
      <c r="E394" s="169"/>
      <c r="F394" s="169"/>
      <c r="G394" s="169"/>
      <c r="H394" s="176"/>
      <c r="I394" s="169"/>
      <c r="J394" s="169"/>
      <c r="K394" s="169"/>
      <c r="L394" s="169"/>
      <c r="M394" s="169"/>
    </row>
    <row r="395" ht="15.75" customHeight="1">
      <c r="A395" s="169"/>
      <c r="B395" s="169"/>
      <c r="C395" s="169"/>
      <c r="D395" s="169"/>
      <c r="E395" s="169"/>
      <c r="F395" s="169"/>
      <c r="G395" s="169"/>
      <c r="H395" s="176"/>
      <c r="I395" s="169"/>
      <c r="J395" s="169"/>
      <c r="K395" s="169"/>
      <c r="L395" s="169"/>
      <c r="M395" s="169"/>
    </row>
    <row r="396" ht="15.75" customHeight="1">
      <c r="A396" s="169"/>
      <c r="B396" s="169"/>
      <c r="C396" s="169"/>
      <c r="D396" s="169"/>
      <c r="E396" s="169"/>
      <c r="F396" s="169"/>
      <c r="G396" s="169"/>
      <c r="H396" s="176"/>
      <c r="I396" s="169"/>
      <c r="J396" s="169"/>
      <c r="K396" s="169"/>
      <c r="L396" s="169"/>
      <c r="M396" s="169"/>
    </row>
    <row r="397" ht="15.75" customHeight="1">
      <c r="A397" s="169"/>
      <c r="B397" s="169"/>
      <c r="C397" s="169"/>
      <c r="D397" s="169"/>
      <c r="E397" s="169"/>
      <c r="F397" s="169"/>
      <c r="G397" s="169"/>
      <c r="H397" s="176"/>
      <c r="I397" s="169"/>
      <c r="J397" s="169"/>
      <c r="K397" s="169"/>
      <c r="L397" s="169"/>
      <c r="M397" s="169"/>
    </row>
    <row r="398" ht="15.75" customHeight="1">
      <c r="A398" s="169"/>
      <c r="B398" s="169"/>
      <c r="C398" s="169"/>
      <c r="D398" s="169"/>
      <c r="E398" s="169"/>
      <c r="F398" s="169"/>
      <c r="G398" s="169"/>
      <c r="H398" s="176"/>
      <c r="I398" s="169"/>
      <c r="J398" s="169"/>
      <c r="K398" s="169"/>
      <c r="L398" s="169"/>
      <c r="M398" s="169"/>
    </row>
    <row r="399" ht="15.75" customHeight="1">
      <c r="A399" s="169"/>
      <c r="B399" s="169"/>
      <c r="C399" s="169"/>
      <c r="D399" s="169"/>
      <c r="E399" s="169"/>
      <c r="F399" s="169"/>
      <c r="G399" s="169"/>
      <c r="H399" s="176"/>
      <c r="I399" s="169"/>
      <c r="J399" s="169"/>
      <c r="K399" s="169"/>
      <c r="L399" s="169"/>
      <c r="M399" s="169"/>
    </row>
    <row r="400" ht="15.75" customHeight="1">
      <c r="A400" s="169"/>
      <c r="B400" s="169"/>
      <c r="C400" s="169"/>
      <c r="D400" s="169"/>
      <c r="E400" s="169"/>
      <c r="F400" s="169"/>
      <c r="G400" s="169"/>
      <c r="H400" s="176"/>
      <c r="I400" s="169"/>
      <c r="J400" s="169"/>
      <c r="K400" s="169"/>
      <c r="L400" s="169"/>
      <c r="M400" s="169"/>
    </row>
    <row r="401" ht="15.75" customHeight="1">
      <c r="A401" s="169"/>
      <c r="B401" s="169"/>
      <c r="C401" s="169"/>
      <c r="D401" s="169"/>
      <c r="E401" s="169"/>
      <c r="F401" s="169"/>
      <c r="G401" s="169"/>
      <c r="H401" s="176"/>
      <c r="I401" s="169"/>
      <c r="J401" s="169"/>
      <c r="K401" s="169"/>
      <c r="L401" s="169"/>
      <c r="M401" s="169"/>
    </row>
    <row r="402" ht="15.75" customHeight="1">
      <c r="A402" s="169"/>
      <c r="B402" s="169"/>
      <c r="C402" s="169"/>
      <c r="D402" s="169"/>
      <c r="E402" s="169"/>
      <c r="F402" s="169"/>
      <c r="G402" s="169"/>
      <c r="H402" s="176"/>
      <c r="I402" s="169"/>
      <c r="J402" s="169"/>
      <c r="K402" s="169"/>
      <c r="L402" s="169"/>
      <c r="M402" s="169"/>
    </row>
    <row r="403" ht="15.75" customHeight="1">
      <c r="A403" s="169"/>
      <c r="B403" s="169"/>
      <c r="C403" s="169"/>
      <c r="D403" s="169"/>
      <c r="E403" s="169"/>
      <c r="F403" s="169"/>
      <c r="G403" s="169"/>
      <c r="H403" s="176"/>
      <c r="I403" s="169"/>
      <c r="J403" s="169"/>
      <c r="K403" s="169"/>
      <c r="L403" s="169"/>
      <c r="M403" s="169"/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dataValidations>
    <dataValidation type="list" allowBlank="1" showErrorMessage="1" sqref="A1">
      <formula1>"Base,Best,Worst"</formula1>
    </dataValidation>
  </dataValidations>
  <printOptions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53" t="s">
        <v>199</v>
      </c>
    </row>
    <row r="2">
      <c r="A2" s="53">
        <v>1.0</v>
      </c>
      <c r="B2" s="53" t="s">
        <v>200</v>
      </c>
      <c r="C2" s="53" t="s">
        <v>201</v>
      </c>
    </row>
    <row r="3">
      <c r="A3" s="53">
        <f>N(Assumption_sheet!I13)</f>
        <v>313200000</v>
      </c>
      <c r="B3" s="53"/>
      <c r="C3" s="53"/>
    </row>
    <row r="4">
      <c r="A4" s="53">
        <f>N(Assumption_sheet!I19)</f>
        <v>7776000</v>
      </c>
      <c r="B4" s="53"/>
      <c r="C4" s="53"/>
    </row>
    <row r="5">
      <c r="A5" s="53">
        <f>N(Discount_Cal!C14)</f>
        <v>0.07046810442</v>
      </c>
      <c r="B5" s="53"/>
      <c r="C5" s="5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3.38"/>
    <col customWidth="1" min="3" max="3" width="35.63"/>
    <col customWidth="1" min="4" max="4" width="11.13"/>
    <col customWidth="1" hidden="1" min="5" max="5" width="12.75"/>
    <col customWidth="1" min="6" max="6" width="13.63"/>
    <col customWidth="1" min="7" max="7" width="15.13"/>
    <col customWidth="1" min="8" max="8" width="15.75"/>
    <col customWidth="1" min="9" max="9" width="14.38"/>
    <col customWidth="1" min="10" max="10" width="13.38"/>
    <col customWidth="1" min="11" max="11" width="13.88"/>
  </cols>
  <sheetData>
    <row r="1" ht="15.75" customHeight="1">
      <c r="A1" s="398"/>
      <c r="B1" s="399"/>
      <c r="C1" s="399"/>
      <c r="D1" s="399"/>
      <c r="E1" s="400" t="s">
        <v>202</v>
      </c>
      <c r="F1" s="401"/>
      <c r="G1" s="401"/>
      <c r="H1" s="399"/>
      <c r="I1" s="399"/>
      <c r="J1" s="399"/>
      <c r="K1" s="399"/>
    </row>
    <row r="2" ht="15.75" customHeight="1">
      <c r="A2" s="398"/>
      <c r="B2" s="399"/>
      <c r="C2" s="399"/>
      <c r="D2" s="399"/>
      <c r="E2" s="399"/>
      <c r="F2" s="402"/>
      <c r="G2" s="399"/>
      <c r="H2" s="399"/>
      <c r="I2" s="399"/>
      <c r="J2" s="399"/>
      <c r="K2" s="399"/>
    </row>
    <row r="3" ht="15.75" customHeight="1">
      <c r="A3" s="403" t="s">
        <v>203</v>
      </c>
      <c r="B3" s="404"/>
      <c r="C3" s="405"/>
      <c r="D3" s="405"/>
      <c r="E3" s="405"/>
      <c r="F3" s="406">
        <f t="shared" ref="F3:K3" si="1">F4+543</f>
        <v>2567</v>
      </c>
      <c r="G3" s="405">
        <f t="shared" si="1"/>
        <v>2568</v>
      </c>
      <c r="H3" s="405">
        <f t="shared" si="1"/>
        <v>2569</v>
      </c>
      <c r="I3" s="405">
        <f t="shared" si="1"/>
        <v>2570</v>
      </c>
      <c r="J3" s="405">
        <f t="shared" si="1"/>
        <v>2571</v>
      </c>
      <c r="K3" s="405">
        <f t="shared" si="1"/>
        <v>2572</v>
      </c>
    </row>
    <row r="4" ht="15.75" customHeight="1">
      <c r="A4" s="407" t="s">
        <v>100</v>
      </c>
      <c r="B4" s="408"/>
      <c r="C4" s="409"/>
      <c r="D4" s="410"/>
      <c r="E4" s="410"/>
      <c r="F4" s="406">
        <f t="shared" ref="F4:K4" si="2">YEAR(F6)</f>
        <v>2024</v>
      </c>
      <c r="G4" s="405">
        <f t="shared" si="2"/>
        <v>2025</v>
      </c>
      <c r="H4" s="405">
        <f t="shared" si="2"/>
        <v>2026</v>
      </c>
      <c r="I4" s="405">
        <f t="shared" si="2"/>
        <v>2027</v>
      </c>
      <c r="J4" s="405">
        <f t="shared" si="2"/>
        <v>2028</v>
      </c>
      <c r="K4" s="405">
        <f t="shared" si="2"/>
        <v>2029</v>
      </c>
    </row>
    <row r="5" ht="15.75" customHeight="1">
      <c r="A5" s="411" t="s">
        <v>101</v>
      </c>
      <c r="B5" s="411"/>
      <c r="C5" s="409"/>
      <c r="D5" s="410" t="s">
        <v>102</v>
      </c>
      <c r="E5" s="410" t="s">
        <v>103</v>
      </c>
      <c r="F5" s="412">
        <v>0.0</v>
      </c>
      <c r="G5" s="410">
        <f t="shared" ref="G5:K5" si="3">F5+1</f>
        <v>1</v>
      </c>
      <c r="H5" s="410">
        <f t="shared" si="3"/>
        <v>2</v>
      </c>
      <c r="I5" s="410">
        <f t="shared" si="3"/>
        <v>3</v>
      </c>
      <c r="J5" s="410">
        <f t="shared" si="3"/>
        <v>4</v>
      </c>
      <c r="K5" s="410">
        <f t="shared" si="3"/>
        <v>5</v>
      </c>
    </row>
    <row r="6" ht="15.75" customHeight="1">
      <c r="A6" s="413"/>
      <c r="B6" s="414"/>
      <c r="C6" s="415" t="s">
        <v>104</v>
      </c>
      <c r="D6" s="416"/>
      <c r="E6" s="417"/>
      <c r="F6" s="418">
        <v>45292.0</v>
      </c>
      <c r="G6" s="419">
        <f t="shared" ref="G6:K6" si="4">F7+1</f>
        <v>45658</v>
      </c>
      <c r="H6" s="419">
        <f t="shared" si="4"/>
        <v>46023</v>
      </c>
      <c r="I6" s="419">
        <f t="shared" si="4"/>
        <v>46388</v>
      </c>
      <c r="J6" s="419">
        <f t="shared" si="4"/>
        <v>46753</v>
      </c>
      <c r="K6" s="419">
        <f t="shared" si="4"/>
        <v>47119</v>
      </c>
    </row>
    <row r="7" ht="15.75" customHeight="1">
      <c r="A7" s="420"/>
      <c r="B7" s="420"/>
      <c r="C7" s="421" t="s">
        <v>105</v>
      </c>
      <c r="D7" s="422"/>
      <c r="E7" s="423"/>
      <c r="F7" s="424">
        <f t="shared" ref="F7:K7" si="5">eomonth(F6,11)</f>
        <v>45657</v>
      </c>
      <c r="G7" s="425">
        <f t="shared" si="5"/>
        <v>46022</v>
      </c>
      <c r="H7" s="425">
        <f t="shared" si="5"/>
        <v>46387</v>
      </c>
      <c r="I7" s="425">
        <f t="shared" si="5"/>
        <v>46752</v>
      </c>
      <c r="J7" s="425">
        <f t="shared" si="5"/>
        <v>47118</v>
      </c>
      <c r="K7" s="425">
        <f t="shared" si="5"/>
        <v>47483</v>
      </c>
    </row>
    <row r="8" ht="15.75" customHeight="1">
      <c r="A8" s="426" t="s">
        <v>204</v>
      </c>
      <c r="B8" s="427"/>
      <c r="C8" s="426"/>
      <c r="D8" s="428"/>
      <c r="E8" s="426"/>
      <c r="F8" s="429" t="s">
        <v>98</v>
      </c>
      <c r="G8" s="426"/>
      <c r="H8" s="426"/>
      <c r="I8" s="426"/>
      <c r="J8" s="426"/>
      <c r="K8" s="426"/>
    </row>
    <row r="9" ht="15.75" customHeight="1">
      <c r="A9" s="430"/>
      <c r="B9" s="431" t="s">
        <v>205</v>
      </c>
      <c r="C9" s="432"/>
      <c r="D9" s="433" t="s">
        <v>113</v>
      </c>
      <c r="E9" s="434"/>
      <c r="F9" s="435">
        <f>Assumption_sheet!H60</f>
        <v>942700243.2</v>
      </c>
      <c r="G9" s="436">
        <f>Assumption_sheet!I60</f>
        <v>1730902400</v>
      </c>
      <c r="H9" s="436">
        <f>Assumption_sheet!J60</f>
        <v>1957892000</v>
      </c>
      <c r="I9" s="436">
        <f>Assumption_sheet!K60</f>
        <v>2345082050</v>
      </c>
      <c r="J9" s="436">
        <f>Assumption_sheet!L60</f>
        <v>2654197378</v>
      </c>
      <c r="K9" s="436">
        <f>Assumption_sheet!M60</f>
        <v>2962171025</v>
      </c>
    </row>
    <row r="10" ht="15.75" customHeight="1">
      <c r="A10" s="437"/>
      <c r="B10" s="437" t="s">
        <v>206</v>
      </c>
      <c r="C10" s="438"/>
      <c r="D10" s="439"/>
      <c r="E10" s="440"/>
      <c r="F10" s="435">
        <v>273287.06</v>
      </c>
      <c r="G10" s="441">
        <v>0.0</v>
      </c>
      <c r="H10" s="442">
        <v>0.0</v>
      </c>
      <c r="I10" s="441">
        <v>0.0</v>
      </c>
      <c r="J10" s="441">
        <v>0.0</v>
      </c>
      <c r="K10" s="441">
        <v>0.0</v>
      </c>
    </row>
    <row r="11" ht="15.75" customHeight="1">
      <c r="A11" s="443"/>
      <c r="B11" s="444" t="s">
        <v>207</v>
      </c>
      <c r="C11" s="445"/>
      <c r="D11" s="446" t="s">
        <v>113</v>
      </c>
      <c r="E11" s="447"/>
      <c r="F11" s="448">
        <f>sum(F9:F10)</f>
        <v>942973530.2</v>
      </c>
      <c r="G11" s="449">
        <f t="shared" ref="G11:K11" si="6">sum(G9+G10)</f>
        <v>1730902400</v>
      </c>
      <c r="H11" s="449">
        <f t="shared" si="6"/>
        <v>1957892000</v>
      </c>
      <c r="I11" s="449">
        <f t="shared" si="6"/>
        <v>2345082050</v>
      </c>
      <c r="J11" s="449">
        <f t="shared" si="6"/>
        <v>2654197378</v>
      </c>
      <c r="K11" s="449">
        <f t="shared" si="6"/>
        <v>2962171025</v>
      </c>
    </row>
    <row r="12" ht="15.75" customHeight="1">
      <c r="A12" s="450"/>
      <c r="B12" s="451" t="s">
        <v>208</v>
      </c>
      <c r="C12" s="452"/>
      <c r="D12" s="453" t="s">
        <v>108</v>
      </c>
      <c r="E12" s="454"/>
      <c r="F12" s="435"/>
      <c r="G12" s="454" t="str">
        <f>Assumption_sheet!I16</f>
        <v/>
      </c>
      <c r="H12" s="454">
        <f>Assumption_sheet!J16</f>
        <v>0.1630824373</v>
      </c>
      <c r="I12" s="454">
        <f>Assumption_sheet!K16</f>
        <v>0.3609938367</v>
      </c>
      <c r="J12" s="454">
        <f>Assumption_sheet!L16</f>
        <v>0.127599246</v>
      </c>
      <c r="K12" s="454">
        <f>Assumption_sheet!M16</f>
        <v>0.1219879261</v>
      </c>
    </row>
    <row r="13" ht="15.75" customHeight="1">
      <c r="A13" s="455"/>
      <c r="B13" s="456"/>
      <c r="C13" s="457"/>
      <c r="D13" s="458"/>
      <c r="E13" s="459"/>
      <c r="F13" s="460"/>
      <c r="G13" s="459"/>
      <c r="H13" s="459"/>
      <c r="I13" s="459"/>
      <c r="J13" s="459"/>
      <c r="K13" s="459"/>
    </row>
    <row r="14" ht="15.75" customHeight="1">
      <c r="A14" s="461"/>
      <c r="B14" s="461" t="s">
        <v>209</v>
      </c>
      <c r="C14" s="462"/>
      <c r="D14" s="463"/>
      <c r="E14" s="464"/>
      <c r="F14" s="435">
        <f>Assumption_sheet!H64</f>
        <v>-872850179.6</v>
      </c>
      <c r="G14" s="464">
        <f>Assumption_sheet!I64</f>
        <v>-1592800000</v>
      </c>
      <c r="H14" s="464">
        <f>Assumption_sheet!J64</f>
        <v>-1843312000</v>
      </c>
      <c r="I14" s="464">
        <f>Assumption_sheet!K64</f>
        <v>-2170282750</v>
      </c>
      <c r="J14" s="464">
        <f>Assumption_sheet!L64</f>
        <v>-2424027528</v>
      </c>
      <c r="K14" s="464">
        <f>Assumption_sheet!M64</f>
        <v>-2678802588</v>
      </c>
    </row>
    <row r="15" ht="15.75" customHeight="1">
      <c r="A15" s="450"/>
      <c r="B15" s="465" t="s">
        <v>210</v>
      </c>
      <c r="C15" s="452"/>
      <c r="D15" s="466" t="s">
        <v>108</v>
      </c>
      <c r="E15" s="454"/>
      <c r="F15" s="467">
        <f t="shared" ref="F15:K15" si="7">-F14/F9</f>
        <v>0.925904269</v>
      </c>
      <c r="G15" s="468">
        <f t="shared" si="7"/>
        <v>0.9202136412</v>
      </c>
      <c r="H15" s="468">
        <f t="shared" si="7"/>
        <v>0.9414778752</v>
      </c>
      <c r="I15" s="468">
        <f t="shared" si="7"/>
        <v>0.9254613287</v>
      </c>
      <c r="J15" s="468">
        <f t="shared" si="7"/>
        <v>0.9132808087</v>
      </c>
      <c r="K15" s="468">
        <f t="shared" si="7"/>
        <v>0.9043375838</v>
      </c>
    </row>
    <row r="16" ht="15.75" customHeight="1">
      <c r="A16" s="469"/>
      <c r="B16" s="470" t="s">
        <v>211</v>
      </c>
      <c r="C16" s="471"/>
      <c r="D16" s="472" t="s">
        <v>108</v>
      </c>
      <c r="E16" s="473"/>
      <c r="F16" s="474"/>
      <c r="G16" s="473">
        <f t="shared" ref="G16:K16" si="8">G15/F15-1</f>
        <v>-0.00614602183</v>
      </c>
      <c r="H16" s="473">
        <f t="shared" si="8"/>
        <v>0.02310793176</v>
      </c>
      <c r="I16" s="473">
        <f t="shared" si="8"/>
        <v>-0.01701213259</v>
      </c>
      <c r="J16" s="473">
        <f t="shared" si="8"/>
        <v>-0.01316156561</v>
      </c>
      <c r="K16" s="473">
        <f t="shared" si="8"/>
        <v>-0.0097924153</v>
      </c>
    </row>
    <row r="17" ht="15.75" customHeight="1">
      <c r="A17" s="475"/>
      <c r="B17" s="476" t="s">
        <v>212</v>
      </c>
      <c r="C17" s="477"/>
      <c r="D17" s="478"/>
      <c r="E17" s="479"/>
      <c r="F17" s="480">
        <f t="shared" ref="F17:K17" si="9">F11+F14</f>
        <v>70123350.68</v>
      </c>
      <c r="G17" s="481">
        <f t="shared" si="9"/>
        <v>138102400</v>
      </c>
      <c r="H17" s="481">
        <f t="shared" si="9"/>
        <v>114580000</v>
      </c>
      <c r="I17" s="481">
        <f t="shared" si="9"/>
        <v>174799300</v>
      </c>
      <c r="J17" s="481">
        <f t="shared" si="9"/>
        <v>230169850</v>
      </c>
      <c r="K17" s="481">
        <f t="shared" si="9"/>
        <v>283368437.5</v>
      </c>
    </row>
    <row r="18" ht="15.75" customHeight="1">
      <c r="A18" s="482"/>
      <c r="B18" s="483" t="s">
        <v>213</v>
      </c>
      <c r="C18" s="484"/>
      <c r="D18" s="485" t="s">
        <v>108</v>
      </c>
      <c r="E18" s="486"/>
      <c r="F18" s="487">
        <f t="shared" ref="F18:K18" si="10">F17/F11</f>
        <v>0.07436407113</v>
      </c>
      <c r="G18" s="486">
        <f t="shared" si="10"/>
        <v>0.07978635884</v>
      </c>
      <c r="H18" s="486">
        <f t="shared" si="10"/>
        <v>0.05852212482</v>
      </c>
      <c r="I18" s="486">
        <f t="shared" si="10"/>
        <v>0.07453867126</v>
      </c>
      <c r="J18" s="486">
        <f t="shared" si="10"/>
        <v>0.08671919125</v>
      </c>
      <c r="K18" s="486">
        <f t="shared" si="10"/>
        <v>0.09566241622</v>
      </c>
    </row>
    <row r="19" ht="15.75" customHeight="1">
      <c r="A19" s="488"/>
      <c r="B19" s="489"/>
      <c r="C19" s="490"/>
      <c r="D19" s="491"/>
      <c r="E19" s="492"/>
      <c r="F19" s="493"/>
      <c r="G19" s="492"/>
      <c r="H19" s="492"/>
      <c r="I19" s="492"/>
      <c r="J19" s="492"/>
      <c r="K19" s="492"/>
    </row>
    <row r="20" ht="15.75" customHeight="1">
      <c r="A20" s="461"/>
      <c r="B20" s="494" t="s">
        <v>214</v>
      </c>
      <c r="C20" s="462"/>
      <c r="D20" s="433" t="s">
        <v>113</v>
      </c>
      <c r="E20" s="464"/>
      <c r="F20" s="435">
        <f>Assumption_sheet!H116</f>
        <v>-10996067.06</v>
      </c>
      <c r="G20" s="464"/>
      <c r="H20" s="464"/>
      <c r="I20" s="464"/>
      <c r="J20" s="464"/>
      <c r="K20" s="464"/>
    </row>
    <row r="21" ht="15.75" customHeight="1">
      <c r="A21" s="495"/>
      <c r="B21" s="495" t="s">
        <v>215</v>
      </c>
      <c r="C21" s="496"/>
      <c r="D21" s="466" t="s">
        <v>108</v>
      </c>
      <c r="E21" s="497"/>
      <c r="F21" s="467">
        <f>-F20/F11</f>
        <v>0.01166105591</v>
      </c>
      <c r="G21" s="454"/>
      <c r="H21" s="454"/>
      <c r="I21" s="454"/>
      <c r="J21" s="454"/>
      <c r="K21" s="454"/>
    </row>
    <row r="22" ht="15.75" customHeight="1">
      <c r="A22" s="461"/>
      <c r="B22" s="494" t="s">
        <v>216</v>
      </c>
      <c r="C22" s="462"/>
      <c r="D22" s="433" t="s">
        <v>113</v>
      </c>
      <c r="E22" s="464"/>
      <c r="F22" s="435">
        <f>Assumption_sheet!H117</f>
        <v>-36936227.86</v>
      </c>
      <c r="G22" s="464"/>
      <c r="H22" s="464"/>
      <c r="I22" s="464"/>
      <c r="J22" s="464"/>
      <c r="K22" s="464"/>
    </row>
    <row r="23" ht="15.75" customHeight="1">
      <c r="A23" s="495"/>
      <c r="B23" s="495" t="s">
        <v>217</v>
      </c>
      <c r="C23" s="496"/>
      <c r="D23" s="466" t="s">
        <v>108</v>
      </c>
      <c r="E23" s="497"/>
      <c r="F23" s="467">
        <f>-F22/F11</f>
        <v>0.03916995194</v>
      </c>
      <c r="G23" s="454"/>
      <c r="H23" s="454"/>
      <c r="I23" s="454"/>
      <c r="J23" s="454"/>
      <c r="K23" s="454"/>
    </row>
    <row r="24" ht="15.75" customHeight="1">
      <c r="A24" s="461"/>
      <c r="B24" s="461" t="s">
        <v>218</v>
      </c>
      <c r="C24" s="462"/>
      <c r="D24" s="433" t="s">
        <v>113</v>
      </c>
      <c r="E24" s="464"/>
      <c r="F24" s="435">
        <f>F20+F22-F30</f>
        <v>-42165456.92</v>
      </c>
      <c r="G24" s="464">
        <f>Assumption_sheet!I118</f>
        <v>-44145749.23</v>
      </c>
      <c r="H24" s="464">
        <f>Assumption_sheet!J118</f>
        <v>-46322710.4</v>
      </c>
      <c r="I24" s="464">
        <f>Assumption_sheet!K118</f>
        <v>-48721239.83</v>
      </c>
      <c r="J24" s="464">
        <f>Assumption_sheet!L118</f>
        <v>-51370098.09</v>
      </c>
      <c r="K24" s="464">
        <f>Assumption_sheet!M118</f>
        <v>-54302612</v>
      </c>
    </row>
    <row r="25" ht="15.75" customHeight="1">
      <c r="A25" s="461"/>
      <c r="B25" s="495" t="s">
        <v>219</v>
      </c>
      <c r="C25" s="496"/>
      <c r="D25" s="466" t="s">
        <v>108</v>
      </c>
      <c r="E25" s="497"/>
      <c r="F25" s="467">
        <f>-F24/F11</f>
        <v>0.04471541943</v>
      </c>
      <c r="G25" s="454">
        <f>Assumption_sheet!I119</f>
        <v>0.04696480147</v>
      </c>
      <c r="H25" s="454">
        <f>Assumption_sheet!J119</f>
        <v>0.04931304154</v>
      </c>
      <c r="I25" s="454">
        <f>Assumption_sheet!K119</f>
        <v>0.05177869362</v>
      </c>
      <c r="J25" s="454">
        <f>Assumption_sheet!L119</f>
        <v>0.0543676283</v>
      </c>
      <c r="K25" s="454">
        <f>Assumption_sheet!M119</f>
        <v>0.05708600972</v>
      </c>
    </row>
    <row r="26" ht="15.75" customHeight="1">
      <c r="A26" s="488"/>
      <c r="B26" s="489"/>
      <c r="C26" s="490"/>
      <c r="D26" s="498"/>
      <c r="E26" s="492"/>
      <c r="F26" s="493"/>
      <c r="G26" s="492"/>
      <c r="H26" s="492"/>
      <c r="I26" s="492"/>
      <c r="J26" s="492"/>
      <c r="K26" s="492"/>
    </row>
    <row r="27" ht="15.75" customHeight="1">
      <c r="A27" s="499"/>
      <c r="B27" s="500" t="s">
        <v>220</v>
      </c>
      <c r="C27" s="501"/>
      <c r="D27" s="502" t="s">
        <v>113</v>
      </c>
      <c r="E27" s="503"/>
      <c r="F27" s="504">
        <f t="shared" ref="F27:K27" si="11">sum(F17+F24)</f>
        <v>27957893.76</v>
      </c>
      <c r="G27" s="503">
        <f t="shared" si="11"/>
        <v>93956650.77</v>
      </c>
      <c r="H27" s="503">
        <f t="shared" si="11"/>
        <v>68257289.6</v>
      </c>
      <c r="I27" s="503">
        <f t="shared" si="11"/>
        <v>126078060.2</v>
      </c>
      <c r="J27" s="503">
        <f t="shared" si="11"/>
        <v>178799751.9</v>
      </c>
      <c r="K27" s="503">
        <f t="shared" si="11"/>
        <v>229065825.5</v>
      </c>
    </row>
    <row r="28" ht="15.75" customHeight="1">
      <c r="A28" s="505"/>
      <c r="B28" s="506" t="s">
        <v>221</v>
      </c>
      <c r="C28" s="507"/>
      <c r="D28" s="508" t="s">
        <v>108</v>
      </c>
      <c r="E28" s="509"/>
      <c r="F28" s="467">
        <f>F27/F$11</f>
        <v>0.0296486517</v>
      </c>
      <c r="G28" s="509">
        <f t="shared" ref="G28:K28" si="12">G27/G11</f>
        <v>0.05428188832</v>
      </c>
      <c r="H28" s="509">
        <f t="shared" si="12"/>
        <v>0.03486264288</v>
      </c>
      <c r="I28" s="509">
        <f t="shared" si="12"/>
        <v>0.05376275008</v>
      </c>
      <c r="J28" s="509">
        <f t="shared" si="12"/>
        <v>0.06736490414</v>
      </c>
      <c r="K28" s="509">
        <f t="shared" si="12"/>
        <v>0.0773303849</v>
      </c>
    </row>
    <row r="29" ht="15.75" customHeight="1">
      <c r="A29" s="461"/>
      <c r="B29" s="494"/>
      <c r="C29" s="462"/>
      <c r="D29" s="463"/>
      <c r="E29" s="464"/>
      <c r="F29" s="435"/>
      <c r="G29" s="464"/>
      <c r="H29" s="464"/>
      <c r="I29" s="464"/>
      <c r="J29" s="464"/>
      <c r="K29" s="464"/>
    </row>
    <row r="30" ht="15.75" customHeight="1">
      <c r="A30" s="455"/>
      <c r="B30" s="455" t="s">
        <v>222</v>
      </c>
      <c r="C30" s="510"/>
      <c r="D30" s="511"/>
      <c r="E30" s="512"/>
      <c r="F30" s="435">
        <f>Assumption_sheet!H170</f>
        <v>-5766838</v>
      </c>
      <c r="G30" s="442">
        <f>Assumption_sheet!I170</f>
        <v>-6342382.516</v>
      </c>
      <c r="H30" s="442">
        <f>Assumption_sheet!J170</f>
        <v>-6337991.756</v>
      </c>
      <c r="I30" s="442">
        <f>Assumption_sheet!K170</f>
        <v>-3804499.981</v>
      </c>
      <c r="J30" s="442">
        <f>Assumption_sheet!L170</f>
        <v>-3508816.848</v>
      </c>
      <c r="K30" s="442">
        <f>Assumption_sheet!M170</f>
        <v>-3436104.493</v>
      </c>
    </row>
    <row r="31" ht="15.75" customHeight="1">
      <c r="A31" s="513"/>
      <c r="B31" s="514" t="s">
        <v>223</v>
      </c>
      <c r="C31" s="515"/>
      <c r="D31" s="516"/>
      <c r="E31" s="516"/>
      <c r="F31" s="493"/>
      <c r="G31" s="517">
        <f>Assumption_sheet!I172</f>
        <v>-1000000</v>
      </c>
      <c r="H31" s="517">
        <f>Assumption_sheet!J172</f>
        <v>-2000000</v>
      </c>
      <c r="I31" s="517">
        <f>Assumption_sheet!K172</f>
        <v>-3000000</v>
      </c>
      <c r="J31" s="517">
        <f>Assumption_sheet!L172</f>
        <v>-4000000</v>
      </c>
      <c r="K31" s="517">
        <f>Assumption_sheet!M172</f>
        <v>-5000000</v>
      </c>
    </row>
    <row r="32" ht="15.75" customHeight="1">
      <c r="A32" s="499"/>
      <c r="B32" s="499" t="s">
        <v>224</v>
      </c>
      <c r="C32" s="501"/>
      <c r="D32" s="518"/>
      <c r="E32" s="503"/>
      <c r="F32" s="504">
        <f>F27+F30</f>
        <v>22191055.76</v>
      </c>
      <c r="G32" s="503">
        <f>sum(G27,G30,G31)</f>
        <v>86614268.25</v>
      </c>
      <c r="H32" s="503">
        <f t="shared" ref="H32:K32" si="13">H27+H30</f>
        <v>61919297.84</v>
      </c>
      <c r="I32" s="503">
        <f t="shared" si="13"/>
        <v>122273560.2</v>
      </c>
      <c r="J32" s="503">
        <f t="shared" si="13"/>
        <v>175290935.1</v>
      </c>
      <c r="K32" s="503">
        <f t="shared" si="13"/>
        <v>225629721</v>
      </c>
    </row>
    <row r="33" ht="15.75" customHeight="1">
      <c r="A33" s="519"/>
      <c r="B33" s="520" t="s">
        <v>225</v>
      </c>
      <c r="C33" s="521"/>
      <c r="D33" s="508" t="s">
        <v>108</v>
      </c>
      <c r="E33" s="509"/>
      <c r="F33" s="467">
        <f t="shared" ref="F33:K33" si="14">F32/F$11</f>
        <v>0.02353306328</v>
      </c>
      <c r="G33" s="509">
        <f t="shared" si="14"/>
        <v>0.05003994925</v>
      </c>
      <c r="H33" s="509">
        <f t="shared" si="14"/>
        <v>0.03162549203</v>
      </c>
      <c r="I33" s="509">
        <f t="shared" si="14"/>
        <v>0.05214041879</v>
      </c>
      <c r="J33" s="509">
        <f t="shared" si="14"/>
        <v>0.06604291623</v>
      </c>
      <c r="K33" s="509">
        <f t="shared" si="14"/>
        <v>0.07617038959</v>
      </c>
    </row>
    <row r="34" ht="15.75" customHeight="1">
      <c r="A34" s="431"/>
      <c r="B34" s="430"/>
      <c r="C34" s="432"/>
      <c r="D34" s="433"/>
      <c r="E34" s="512"/>
      <c r="F34" s="435"/>
      <c r="G34" s="434"/>
      <c r="H34" s="434"/>
      <c r="I34" s="434"/>
      <c r="J34" s="434"/>
      <c r="K34" s="434"/>
    </row>
    <row r="35" ht="15.75" customHeight="1">
      <c r="A35" s="431"/>
      <c r="B35" s="430"/>
      <c r="C35" s="432"/>
      <c r="D35" s="433"/>
      <c r="E35" s="512"/>
      <c r="F35" s="435"/>
      <c r="G35" s="434"/>
      <c r="H35" s="434"/>
      <c r="I35" s="434"/>
      <c r="J35" s="434"/>
      <c r="K35" s="434"/>
    </row>
    <row r="36" ht="15.75" customHeight="1">
      <c r="A36" s="488"/>
      <c r="B36" s="522" t="s">
        <v>226</v>
      </c>
      <c r="C36" s="490"/>
      <c r="D36" s="498"/>
      <c r="E36" s="492"/>
      <c r="F36" s="493">
        <f>Assumption_sheet!H203</f>
        <v>-3874174.03</v>
      </c>
      <c r="G36" s="492">
        <f>Assumption_sheet!I203</f>
        <v>-3466218.685</v>
      </c>
      <c r="H36" s="492">
        <f>Assumption_sheet!J203</f>
        <v>-3358045.676</v>
      </c>
      <c r="I36" s="492">
        <f>Assumption_sheet!K203</f>
        <v>-3249872.668</v>
      </c>
      <c r="J36" s="492">
        <f>Assumption_sheet!L203</f>
        <v>-3141699.659</v>
      </c>
      <c r="K36" s="492">
        <f>Assumption_sheet!M203</f>
        <v>-3087613.155</v>
      </c>
    </row>
    <row r="37" ht="15.75" customHeight="1">
      <c r="A37" s="461"/>
      <c r="B37" s="431" t="s">
        <v>227</v>
      </c>
      <c r="C37" s="462"/>
      <c r="D37" s="463"/>
      <c r="E37" s="464"/>
      <c r="F37" s="435">
        <f t="shared" ref="F37:K37" si="15">F32+F36</f>
        <v>18316881.73</v>
      </c>
      <c r="G37" s="464">
        <f t="shared" si="15"/>
        <v>83148049.57</v>
      </c>
      <c r="H37" s="464">
        <f t="shared" si="15"/>
        <v>58561252.17</v>
      </c>
      <c r="I37" s="464">
        <f t="shared" si="15"/>
        <v>119023687.5</v>
      </c>
      <c r="J37" s="464">
        <f t="shared" si="15"/>
        <v>172149235.4</v>
      </c>
      <c r="K37" s="464">
        <f t="shared" si="15"/>
        <v>222542107.8</v>
      </c>
    </row>
    <row r="38" ht="15.75" customHeight="1">
      <c r="A38" s="519"/>
      <c r="B38" s="520" t="s">
        <v>228</v>
      </c>
      <c r="C38" s="507"/>
      <c r="D38" s="508" t="s">
        <v>108</v>
      </c>
      <c r="E38" s="509"/>
      <c r="F38" s="467">
        <f t="shared" ref="F38:K38" si="16">F37/F11</f>
        <v>0.01942459798</v>
      </c>
      <c r="G38" s="509">
        <f t="shared" si="16"/>
        <v>0.0480373992</v>
      </c>
      <c r="H38" s="509">
        <f t="shared" si="16"/>
        <v>0.02991035878</v>
      </c>
      <c r="I38" s="509">
        <f t="shared" si="16"/>
        <v>0.05075459408</v>
      </c>
      <c r="J38" s="509">
        <f t="shared" si="16"/>
        <v>0.06485924403</v>
      </c>
      <c r="K38" s="509">
        <f t="shared" si="16"/>
        <v>0.07512804155</v>
      </c>
    </row>
    <row r="39" ht="15.75" customHeight="1">
      <c r="A39" s="461"/>
      <c r="B39" s="431"/>
      <c r="C39" s="462"/>
      <c r="D39" s="463"/>
      <c r="E39" s="464"/>
      <c r="F39" s="435"/>
      <c r="G39" s="464"/>
      <c r="H39" s="464"/>
      <c r="I39" s="464"/>
      <c r="J39" s="464"/>
      <c r="K39" s="464"/>
    </row>
    <row r="40" ht="15.75" customHeight="1">
      <c r="A40" s="488"/>
      <c r="B40" s="522" t="s">
        <v>229</v>
      </c>
      <c r="C40" s="490"/>
      <c r="D40" s="498"/>
      <c r="E40" s="492"/>
      <c r="F40" s="493">
        <v>-4094506.67</v>
      </c>
      <c r="G40" s="492">
        <f>-G37*Assumption_sheet!$I$121</f>
        <v>-20787012.39</v>
      </c>
      <c r="H40" s="492">
        <f>-H37*Assumption_sheet!$I$121</f>
        <v>-14640313.04</v>
      </c>
      <c r="I40" s="492">
        <f>-I37*Assumption_sheet!$I$121</f>
        <v>-29755921.88</v>
      </c>
      <c r="J40" s="492">
        <f>-J37*Assumption_sheet!$I$121</f>
        <v>-43037308.85</v>
      </c>
      <c r="K40" s="492">
        <f>-K37*Assumption_sheet!$I$121</f>
        <v>-55635526.96</v>
      </c>
    </row>
    <row r="41" ht="15.75" customHeight="1">
      <c r="A41" s="523"/>
      <c r="B41" s="524" t="s">
        <v>230</v>
      </c>
      <c r="C41" s="525"/>
      <c r="D41" s="526"/>
      <c r="E41" s="527"/>
      <c r="F41" s="467">
        <f t="shared" ref="F41:K41" si="17">-F40/F37</f>
        <v>0.2235373209</v>
      </c>
      <c r="G41" s="440">
        <f t="shared" si="17"/>
        <v>0.25</v>
      </c>
      <c r="H41" s="440">
        <f t="shared" si="17"/>
        <v>0.25</v>
      </c>
      <c r="I41" s="440">
        <f t="shared" si="17"/>
        <v>0.25</v>
      </c>
      <c r="J41" s="440">
        <f t="shared" si="17"/>
        <v>0.25</v>
      </c>
      <c r="K41" s="440">
        <f t="shared" si="17"/>
        <v>0.25</v>
      </c>
    </row>
    <row r="42" ht="15.75" customHeight="1">
      <c r="A42" s="499"/>
      <c r="B42" s="528" t="s">
        <v>231</v>
      </c>
      <c r="C42" s="529"/>
      <c r="D42" s="530"/>
      <c r="E42" s="531"/>
      <c r="F42" s="504">
        <f t="shared" ref="F42:K42" si="18">F37+F40</f>
        <v>14222375.06</v>
      </c>
      <c r="G42" s="531">
        <f t="shared" si="18"/>
        <v>62361037.17</v>
      </c>
      <c r="H42" s="531">
        <f t="shared" si="18"/>
        <v>43920939.13</v>
      </c>
      <c r="I42" s="531">
        <f t="shared" si="18"/>
        <v>89267765.64</v>
      </c>
      <c r="J42" s="531">
        <f t="shared" si="18"/>
        <v>129111926.6</v>
      </c>
      <c r="K42" s="531">
        <f t="shared" si="18"/>
        <v>166906580.9</v>
      </c>
    </row>
    <row r="43" ht="15.75" customHeight="1">
      <c r="A43" s="469"/>
      <c r="B43" s="469" t="s">
        <v>232</v>
      </c>
      <c r="C43" s="532"/>
      <c r="D43" s="472" t="s">
        <v>108</v>
      </c>
      <c r="E43" s="471"/>
      <c r="F43" s="474">
        <f t="shared" ref="F43:K43" si="19">F42/F11</f>
        <v>0.01508247539</v>
      </c>
      <c r="G43" s="473">
        <f t="shared" si="19"/>
        <v>0.0360280494</v>
      </c>
      <c r="H43" s="473">
        <f t="shared" si="19"/>
        <v>0.02243276908</v>
      </c>
      <c r="I43" s="473">
        <f t="shared" si="19"/>
        <v>0.03806594556</v>
      </c>
      <c r="J43" s="473">
        <f t="shared" si="19"/>
        <v>0.04864443302</v>
      </c>
      <c r="K43" s="473">
        <f t="shared" si="19"/>
        <v>0.05634603116</v>
      </c>
    </row>
    <row r="44" ht="15.75" customHeight="1">
      <c r="A44" s="533"/>
      <c r="B44" s="201"/>
      <c r="C44" s="533"/>
      <c r="D44" s="534"/>
      <c r="E44" s="533"/>
      <c r="F44" s="535"/>
      <c r="G44" s="533"/>
      <c r="H44" s="533"/>
      <c r="I44" s="533"/>
      <c r="J44" s="533"/>
      <c r="K44" s="533"/>
    </row>
    <row r="45" ht="15.75" customHeight="1">
      <c r="A45" s="201"/>
      <c r="B45" s="536"/>
      <c r="C45" s="201"/>
      <c r="D45" s="537"/>
      <c r="E45" s="201"/>
      <c r="F45" s="535"/>
      <c r="G45" s="201"/>
      <c r="H45" s="201"/>
      <c r="I45" s="201"/>
      <c r="J45" s="201"/>
      <c r="K45" s="201"/>
    </row>
    <row r="46" ht="15.75" customHeight="1">
      <c r="A46" s="201"/>
      <c r="B46" s="201"/>
      <c r="C46" s="201"/>
      <c r="D46" s="537"/>
      <c r="E46" s="201"/>
      <c r="F46" s="535"/>
      <c r="G46" s="201"/>
      <c r="H46" s="201"/>
      <c r="I46" s="201"/>
      <c r="J46" s="201"/>
      <c r="K46" s="201"/>
    </row>
    <row r="47" ht="15.75" customHeight="1">
      <c r="A47" s="201"/>
      <c r="B47" s="298"/>
      <c r="C47" s="298"/>
      <c r="D47" s="298"/>
      <c r="E47" s="298"/>
      <c r="F47" s="538"/>
      <c r="G47" s="298"/>
      <c r="H47" s="201"/>
      <c r="I47" s="201"/>
      <c r="J47" s="201"/>
      <c r="K47" s="201"/>
    </row>
    <row r="48" ht="15.75" customHeight="1">
      <c r="A48" s="201"/>
      <c r="B48" s="201"/>
      <c r="C48" s="201"/>
      <c r="D48" s="537"/>
      <c r="E48" s="201"/>
      <c r="F48" s="535"/>
      <c r="G48" s="201"/>
      <c r="H48" s="201"/>
      <c r="I48" s="201"/>
      <c r="J48" s="201"/>
      <c r="K48" s="201"/>
    </row>
    <row r="49" ht="15.75" customHeight="1">
      <c r="A49" s="201"/>
      <c r="B49" s="201"/>
      <c r="C49" s="201"/>
      <c r="D49" s="537"/>
      <c r="E49" s="539"/>
      <c r="F49" s="538"/>
      <c r="G49" s="201"/>
      <c r="H49" s="201"/>
      <c r="I49" s="201"/>
      <c r="J49" s="201"/>
      <c r="K49" s="201"/>
    </row>
    <row r="50" ht="15.75" customHeight="1">
      <c r="A50" s="536"/>
      <c r="B50" s="201"/>
      <c r="C50" s="201"/>
      <c r="D50" s="537"/>
      <c r="E50" s="298"/>
      <c r="F50" s="535"/>
      <c r="G50" s="201"/>
      <c r="H50" s="201"/>
      <c r="I50" s="201"/>
      <c r="J50" s="201"/>
      <c r="K50" s="201"/>
    </row>
    <row r="51" ht="15.75" customHeight="1">
      <c r="A51" s="201"/>
      <c r="B51" s="201"/>
      <c r="C51" s="201"/>
      <c r="D51" s="537"/>
      <c r="E51" s="540"/>
      <c r="F51" s="535"/>
      <c r="G51" s="201"/>
      <c r="H51" s="201"/>
      <c r="I51" s="201"/>
      <c r="J51" s="201"/>
      <c r="K51" s="201"/>
    </row>
    <row r="52" ht="15.75" customHeight="1">
      <c r="A52" s="201"/>
      <c r="B52" s="201"/>
      <c r="C52" s="201"/>
      <c r="D52" s="537"/>
      <c r="E52" s="540"/>
      <c r="F52" s="535"/>
      <c r="G52" s="201"/>
      <c r="H52" s="201"/>
      <c r="I52" s="201"/>
      <c r="J52" s="201"/>
      <c r="K52" s="201"/>
    </row>
    <row r="53" ht="15.75" customHeight="1">
      <c r="A53" s="201"/>
      <c r="B53" s="201"/>
      <c r="C53" s="201"/>
      <c r="D53" s="537"/>
      <c r="E53" s="540"/>
      <c r="F53" s="535"/>
      <c r="G53" s="201"/>
      <c r="H53" s="201"/>
      <c r="I53" s="201"/>
      <c r="J53" s="201"/>
      <c r="K53" s="201"/>
    </row>
    <row r="54" ht="15.75" customHeight="1">
      <c r="A54" s="201"/>
      <c r="B54" s="201"/>
      <c r="C54" s="201"/>
      <c r="D54" s="537"/>
      <c r="E54" s="540"/>
      <c r="F54" s="535"/>
      <c r="G54" s="201"/>
      <c r="H54" s="201"/>
      <c r="I54" s="201"/>
      <c r="J54" s="201"/>
      <c r="K54" s="201"/>
    </row>
    <row r="55" ht="15.75" customHeight="1">
      <c r="A55" s="201"/>
      <c r="B55" s="201"/>
      <c r="C55" s="201"/>
      <c r="D55" s="537"/>
      <c r="E55" s="540"/>
      <c r="F55" s="535"/>
      <c r="G55" s="201"/>
      <c r="H55" s="201"/>
      <c r="I55" s="201"/>
      <c r="J55" s="201"/>
      <c r="K55" s="201"/>
    </row>
    <row r="56" ht="15.75" customHeight="1">
      <c r="A56" s="201"/>
      <c r="B56" s="201"/>
      <c r="C56" s="536"/>
      <c r="D56" s="537"/>
      <c r="E56" s="201"/>
      <c r="F56" s="535"/>
      <c r="G56" s="201"/>
      <c r="H56" s="201"/>
      <c r="I56" s="201"/>
      <c r="J56" s="201"/>
      <c r="K56" s="201"/>
    </row>
    <row r="57" ht="15.75" customHeight="1">
      <c r="A57" s="201"/>
      <c r="B57" s="201"/>
      <c r="C57" s="201"/>
      <c r="D57" s="537"/>
      <c r="E57" s="201"/>
      <c r="F57" s="535"/>
      <c r="G57" s="201"/>
      <c r="H57" s="201"/>
      <c r="I57" s="201"/>
      <c r="J57" s="201"/>
      <c r="K57" s="201"/>
    </row>
    <row r="58" ht="15.75" customHeight="1">
      <c r="A58" s="201"/>
      <c r="B58" s="536"/>
      <c r="C58" s="201"/>
      <c r="D58" s="537"/>
      <c r="E58" s="201"/>
      <c r="F58" s="535"/>
      <c r="G58" s="201"/>
      <c r="H58" s="201"/>
      <c r="I58" s="201"/>
      <c r="J58" s="201"/>
      <c r="K58" s="201"/>
    </row>
    <row r="59" ht="15.75" customHeight="1">
      <c r="A59" s="540"/>
      <c r="B59" s="540"/>
      <c r="C59" s="540"/>
      <c r="D59" s="541"/>
      <c r="E59" s="542"/>
      <c r="F59" s="535"/>
      <c r="G59" s="540"/>
      <c r="H59" s="540"/>
      <c r="I59" s="540"/>
      <c r="J59" s="540"/>
      <c r="K59" s="540"/>
    </row>
    <row r="60" ht="15.75" customHeight="1">
      <c r="A60" s="201"/>
      <c r="B60" s="201"/>
      <c r="C60" s="201"/>
      <c r="D60" s="537"/>
      <c r="E60" s="201"/>
      <c r="F60" s="535"/>
      <c r="G60" s="540"/>
      <c r="H60" s="540"/>
      <c r="I60" s="540"/>
      <c r="J60" s="540"/>
      <c r="K60" s="540"/>
    </row>
    <row r="61" ht="15.75" customHeight="1">
      <c r="A61" s="201"/>
      <c r="B61" s="201"/>
      <c r="C61" s="201"/>
      <c r="D61" s="537"/>
      <c r="E61" s="201"/>
      <c r="F61" s="535"/>
      <c r="G61" s="540"/>
      <c r="H61" s="201"/>
      <c r="I61" s="201"/>
      <c r="J61" s="201"/>
      <c r="K61" s="201"/>
    </row>
    <row r="62" ht="15.75" customHeight="1">
      <c r="A62" s="201"/>
      <c r="B62" s="201"/>
      <c r="C62" s="201"/>
      <c r="D62" s="537"/>
      <c r="E62" s="201"/>
      <c r="F62" s="535"/>
      <c r="G62" s="540"/>
      <c r="H62" s="540"/>
      <c r="I62" s="540"/>
      <c r="J62" s="540"/>
      <c r="K62" s="540"/>
    </row>
    <row r="63" ht="15.75" customHeight="1">
      <c r="A63" s="201"/>
      <c r="B63" s="201"/>
      <c r="C63" s="201"/>
      <c r="D63" s="537"/>
      <c r="E63" s="201"/>
      <c r="F63" s="535"/>
      <c r="G63" s="540"/>
      <c r="H63" s="540"/>
      <c r="I63" s="540"/>
      <c r="J63" s="540"/>
      <c r="K63" s="540"/>
    </row>
    <row r="64" ht="15.75" customHeight="1">
      <c r="A64" s="201"/>
      <c r="B64" s="201"/>
      <c r="C64" s="536"/>
      <c r="D64" s="537"/>
      <c r="E64" s="201"/>
      <c r="F64" s="535"/>
      <c r="G64" s="201"/>
      <c r="H64" s="201"/>
      <c r="I64" s="201"/>
      <c r="J64" s="201"/>
      <c r="K64" s="201"/>
    </row>
    <row r="65" ht="15.75" customHeight="1">
      <c r="A65" s="536"/>
      <c r="B65" s="201"/>
      <c r="C65" s="201"/>
      <c r="D65" s="537"/>
      <c r="E65" s="201"/>
      <c r="F65" s="535"/>
      <c r="G65" s="201"/>
      <c r="H65" s="201"/>
      <c r="I65" s="201"/>
      <c r="J65" s="201"/>
      <c r="K65" s="201"/>
    </row>
    <row r="66" ht="15.75" customHeight="1">
      <c r="A66" s="201"/>
      <c r="B66" s="201"/>
      <c r="C66" s="201"/>
      <c r="D66" s="534"/>
      <c r="E66" s="533"/>
      <c r="F66" s="535"/>
      <c r="G66" s="201"/>
      <c r="H66" s="201"/>
      <c r="I66" s="201"/>
      <c r="J66" s="201"/>
      <c r="K66" s="201"/>
    </row>
    <row r="67" ht="15.75" customHeight="1">
      <c r="A67" s="201"/>
      <c r="B67" s="201"/>
      <c r="C67" s="201"/>
      <c r="D67" s="537"/>
      <c r="E67" s="540"/>
      <c r="F67" s="535"/>
      <c r="G67" s="201"/>
      <c r="H67" s="201"/>
      <c r="I67" s="201"/>
      <c r="J67" s="201"/>
      <c r="K67" s="201"/>
    </row>
    <row r="68" ht="15.75" customHeight="1">
      <c r="A68" s="201"/>
      <c r="B68" s="201"/>
      <c r="C68" s="201"/>
      <c r="D68" s="537"/>
      <c r="E68" s="201"/>
      <c r="F68" s="535"/>
      <c r="G68" s="201"/>
      <c r="H68" s="201"/>
      <c r="I68" s="201"/>
      <c r="J68" s="201"/>
      <c r="K68" s="201"/>
    </row>
    <row r="69" ht="15.75" customHeight="1">
      <c r="A69" s="533"/>
      <c r="B69" s="533"/>
      <c r="C69" s="533"/>
      <c r="D69" s="534"/>
      <c r="E69" s="533"/>
      <c r="F69" s="535"/>
      <c r="G69" s="533"/>
      <c r="H69" s="533"/>
      <c r="I69" s="533"/>
      <c r="J69" s="533"/>
      <c r="K69" s="533"/>
    </row>
    <row r="70" ht="15.75" customHeight="1">
      <c r="A70" s="201"/>
      <c r="B70" s="201"/>
      <c r="C70" s="201"/>
      <c r="D70" s="537"/>
      <c r="E70" s="201"/>
      <c r="F70" s="535"/>
      <c r="G70" s="201"/>
      <c r="H70" s="201"/>
      <c r="I70" s="201"/>
      <c r="J70" s="201"/>
      <c r="K70" s="201"/>
    </row>
    <row r="71" ht="15.75" customHeight="1">
      <c r="A71" s="201"/>
      <c r="B71" s="201"/>
      <c r="C71" s="201"/>
      <c r="D71" s="537"/>
      <c r="E71" s="201"/>
      <c r="F71" s="535"/>
      <c r="G71" s="201"/>
      <c r="H71" s="201"/>
      <c r="I71" s="201"/>
      <c r="J71" s="201"/>
      <c r="K71" s="201"/>
    </row>
    <row r="72" ht="15.75" customHeight="1">
      <c r="A72" s="201"/>
      <c r="B72" s="201"/>
      <c r="C72" s="201"/>
      <c r="D72" s="537"/>
      <c r="E72" s="201"/>
      <c r="F72" s="535"/>
      <c r="G72" s="201"/>
      <c r="H72" s="201"/>
      <c r="I72" s="201"/>
      <c r="J72" s="201"/>
      <c r="K72" s="201"/>
    </row>
    <row r="73" ht="15.75" customHeight="1">
      <c r="A73" s="201"/>
      <c r="B73" s="201"/>
      <c r="C73" s="201"/>
      <c r="D73" s="537"/>
      <c r="E73" s="201"/>
      <c r="F73" s="535"/>
      <c r="G73" s="201"/>
      <c r="H73" s="201"/>
      <c r="I73" s="201"/>
      <c r="J73" s="201"/>
      <c r="K73" s="201"/>
    </row>
    <row r="74" ht="15.75" customHeight="1">
      <c r="A74" s="540"/>
      <c r="B74" s="540"/>
      <c r="C74" s="540"/>
      <c r="D74" s="541"/>
      <c r="E74" s="540"/>
      <c r="F74" s="535"/>
      <c r="G74" s="540"/>
      <c r="H74" s="540"/>
      <c r="I74" s="540"/>
      <c r="J74" s="540"/>
      <c r="K74" s="540"/>
    </row>
    <row r="75" ht="15.75" customHeight="1">
      <c r="A75" s="540"/>
      <c r="B75" s="540"/>
      <c r="C75" s="540"/>
      <c r="D75" s="541"/>
      <c r="E75" s="540"/>
      <c r="F75" s="535"/>
      <c r="G75" s="540"/>
      <c r="H75" s="540"/>
      <c r="I75" s="540"/>
      <c r="J75" s="540"/>
      <c r="K75" s="540"/>
    </row>
    <row r="76" ht="15.75" customHeight="1">
      <c r="A76" s="201"/>
      <c r="B76" s="201"/>
      <c r="C76" s="201"/>
      <c r="D76" s="537"/>
      <c r="E76" s="201"/>
      <c r="F76" s="535"/>
      <c r="G76" s="201"/>
      <c r="H76" s="201"/>
      <c r="I76" s="201"/>
      <c r="J76" s="201"/>
      <c r="K76" s="201"/>
    </row>
    <row r="77" ht="15.75" customHeight="1">
      <c r="A77" s="540"/>
      <c r="B77" s="540"/>
      <c r="C77" s="540"/>
      <c r="D77" s="541"/>
      <c r="E77" s="540"/>
      <c r="F77" s="535"/>
      <c r="G77" s="540"/>
      <c r="H77" s="540"/>
      <c r="I77" s="540"/>
      <c r="J77" s="540"/>
      <c r="K77" s="540"/>
    </row>
    <row r="78" ht="15.75" customHeight="1">
      <c r="A78" s="201"/>
      <c r="B78" s="201"/>
      <c r="C78" s="201"/>
      <c r="D78" s="537"/>
      <c r="E78" s="201"/>
      <c r="F78" s="535"/>
      <c r="G78" s="201"/>
      <c r="H78" s="201"/>
      <c r="I78" s="201"/>
      <c r="J78" s="201"/>
      <c r="K78" s="201"/>
    </row>
    <row r="79" ht="15.75" customHeight="1">
      <c r="A79" s="201"/>
      <c r="B79" s="201"/>
      <c r="C79" s="201"/>
      <c r="D79" s="537"/>
      <c r="E79" s="201"/>
      <c r="F79" s="535"/>
      <c r="G79" s="201"/>
      <c r="H79" s="201"/>
      <c r="I79" s="201"/>
      <c r="J79" s="201"/>
      <c r="K79" s="201"/>
    </row>
    <row r="80" ht="15.75" customHeight="1">
      <c r="A80" s="298"/>
      <c r="B80" s="298"/>
      <c r="C80" s="298"/>
      <c r="D80" s="543"/>
      <c r="E80" s="298"/>
      <c r="F80" s="544"/>
      <c r="G80" s="298"/>
      <c r="H80" s="298"/>
      <c r="I80" s="298"/>
      <c r="J80" s="298"/>
      <c r="K80" s="298"/>
    </row>
    <row r="81" ht="15.75" customHeight="1">
      <c r="A81" s="298"/>
      <c r="B81" s="298"/>
      <c r="C81" s="298"/>
      <c r="D81" s="543"/>
      <c r="E81" s="298"/>
      <c r="F81" s="544"/>
      <c r="G81" s="298"/>
      <c r="H81" s="298"/>
      <c r="I81" s="298"/>
      <c r="J81" s="298"/>
      <c r="K81" s="298"/>
    </row>
    <row r="82" ht="15.75" customHeight="1">
      <c r="A82" s="298"/>
      <c r="B82" s="298"/>
      <c r="C82" s="298"/>
      <c r="D82" s="543"/>
      <c r="E82" s="298"/>
      <c r="F82" s="544"/>
      <c r="G82" s="298"/>
      <c r="H82" s="298"/>
      <c r="I82" s="298"/>
      <c r="J82" s="298"/>
      <c r="K82" s="298"/>
    </row>
    <row r="83" ht="15.75" customHeight="1">
      <c r="A83" s="298"/>
      <c r="B83" s="298"/>
      <c r="C83" s="298"/>
      <c r="D83" s="543"/>
      <c r="E83" s="298"/>
      <c r="F83" s="544"/>
      <c r="G83" s="298"/>
      <c r="H83" s="298"/>
      <c r="I83" s="298"/>
      <c r="J83" s="298"/>
      <c r="K83" s="298"/>
    </row>
    <row r="84" ht="15.75" customHeight="1">
      <c r="A84" s="298"/>
      <c r="B84" s="298"/>
      <c r="C84" s="298"/>
      <c r="D84" s="543"/>
      <c r="E84" s="298"/>
      <c r="F84" s="544"/>
      <c r="G84" s="298"/>
      <c r="H84" s="298"/>
      <c r="I84" s="298"/>
      <c r="J84" s="298"/>
      <c r="K84" s="298"/>
    </row>
    <row r="85" ht="15.75" customHeight="1">
      <c r="A85" s="298"/>
      <c r="B85" s="298"/>
      <c r="C85" s="298"/>
      <c r="D85" s="543"/>
      <c r="E85" s="298"/>
      <c r="F85" s="544"/>
      <c r="G85" s="298"/>
      <c r="H85" s="298"/>
      <c r="I85" s="298"/>
      <c r="J85" s="298"/>
      <c r="K85" s="298"/>
    </row>
    <row r="86" ht="15.75" customHeight="1">
      <c r="A86" s="298"/>
      <c r="B86" s="298"/>
      <c r="C86" s="298"/>
      <c r="D86" s="543"/>
      <c r="E86" s="298"/>
      <c r="F86" s="544"/>
      <c r="G86" s="298"/>
      <c r="H86" s="298"/>
      <c r="I86" s="298"/>
      <c r="J86" s="298"/>
      <c r="K86" s="298"/>
    </row>
    <row r="87" ht="15.75" customHeight="1">
      <c r="A87" s="298"/>
      <c r="B87" s="298"/>
      <c r="C87" s="298"/>
      <c r="D87" s="543"/>
      <c r="E87" s="298"/>
      <c r="F87" s="544"/>
      <c r="G87" s="298"/>
      <c r="H87" s="298"/>
      <c r="I87" s="298"/>
      <c r="J87" s="298"/>
      <c r="K87" s="298"/>
    </row>
    <row r="88" ht="15.75" customHeight="1">
      <c r="A88" s="298"/>
      <c r="B88" s="298"/>
      <c r="C88" s="298"/>
      <c r="D88" s="543"/>
      <c r="E88" s="298"/>
      <c r="F88" s="544"/>
      <c r="G88" s="298"/>
      <c r="H88" s="298"/>
      <c r="I88" s="298"/>
      <c r="J88" s="298"/>
      <c r="K88" s="298"/>
    </row>
    <row r="89" ht="15.75" customHeight="1">
      <c r="A89" s="298"/>
      <c r="B89" s="298"/>
      <c r="C89" s="298"/>
      <c r="D89" s="543"/>
      <c r="E89" s="298"/>
      <c r="F89" s="544"/>
      <c r="G89" s="298"/>
      <c r="H89" s="298"/>
      <c r="I89" s="298"/>
      <c r="J89" s="298"/>
      <c r="K89" s="298"/>
    </row>
    <row r="90" ht="15.75" customHeight="1">
      <c r="A90" s="298"/>
      <c r="B90" s="298"/>
      <c r="C90" s="298"/>
      <c r="D90" s="543"/>
      <c r="E90" s="298"/>
      <c r="F90" s="544"/>
      <c r="G90" s="298"/>
      <c r="H90" s="298"/>
      <c r="I90" s="298"/>
      <c r="J90" s="298"/>
      <c r="K90" s="298"/>
    </row>
    <row r="91" ht="15.75" customHeight="1">
      <c r="A91" s="298"/>
      <c r="B91" s="298"/>
      <c r="C91" s="298"/>
      <c r="D91" s="543"/>
      <c r="E91" s="298"/>
      <c r="F91" s="544"/>
      <c r="G91" s="298"/>
      <c r="H91" s="298"/>
      <c r="I91" s="298"/>
      <c r="J91" s="298"/>
      <c r="K91" s="298"/>
    </row>
    <row r="92" ht="15.75" customHeight="1">
      <c r="A92" s="298"/>
      <c r="B92" s="298"/>
      <c r="C92" s="298"/>
      <c r="D92" s="543"/>
      <c r="E92" s="298"/>
      <c r="F92" s="544"/>
      <c r="G92" s="298"/>
      <c r="H92" s="298"/>
      <c r="I92" s="298"/>
      <c r="J92" s="298"/>
      <c r="K92" s="298"/>
    </row>
    <row r="93" ht="15.75" customHeight="1">
      <c r="A93" s="298"/>
      <c r="B93" s="298"/>
      <c r="C93" s="298"/>
      <c r="D93" s="543"/>
      <c r="E93" s="298"/>
      <c r="F93" s="544"/>
      <c r="G93" s="298"/>
      <c r="H93" s="298"/>
      <c r="I93" s="298"/>
      <c r="J93" s="298"/>
      <c r="K93" s="298"/>
    </row>
    <row r="94" ht="15.75" customHeight="1">
      <c r="A94" s="298"/>
      <c r="B94" s="298"/>
      <c r="C94" s="298"/>
      <c r="D94" s="543"/>
      <c r="E94" s="298"/>
      <c r="F94" s="544"/>
      <c r="G94" s="298"/>
      <c r="H94" s="298"/>
      <c r="I94" s="298"/>
      <c r="J94" s="298"/>
      <c r="K94" s="298"/>
    </row>
    <row r="95" ht="15.75" customHeight="1">
      <c r="A95" s="298"/>
      <c r="B95" s="298"/>
      <c r="C95" s="298"/>
      <c r="D95" s="543"/>
      <c r="E95" s="298"/>
      <c r="F95" s="544"/>
      <c r="G95" s="298"/>
      <c r="H95" s="298"/>
      <c r="I95" s="298"/>
      <c r="J95" s="298"/>
      <c r="K95" s="298"/>
    </row>
    <row r="96" ht="15.75" customHeight="1">
      <c r="A96" s="298"/>
      <c r="B96" s="298"/>
      <c r="C96" s="298"/>
      <c r="D96" s="543"/>
      <c r="E96" s="298"/>
      <c r="F96" s="544"/>
      <c r="G96" s="298"/>
      <c r="H96" s="298"/>
      <c r="I96" s="298"/>
      <c r="J96" s="298"/>
      <c r="K96" s="298"/>
    </row>
    <row r="97" ht="15.75" customHeight="1">
      <c r="A97" s="298"/>
      <c r="B97" s="298"/>
      <c r="C97" s="298"/>
      <c r="D97" s="543"/>
      <c r="E97" s="298"/>
      <c r="F97" s="544"/>
      <c r="G97" s="298"/>
      <c r="H97" s="298"/>
      <c r="I97" s="298"/>
      <c r="J97" s="298"/>
      <c r="K97" s="298"/>
    </row>
    <row r="98" ht="15.75" customHeight="1">
      <c r="A98" s="298"/>
      <c r="B98" s="298"/>
      <c r="C98" s="298"/>
      <c r="D98" s="543"/>
      <c r="E98" s="298"/>
      <c r="F98" s="544"/>
      <c r="G98" s="298"/>
      <c r="H98" s="298"/>
      <c r="I98" s="298"/>
      <c r="J98" s="298"/>
      <c r="K98" s="298"/>
    </row>
    <row r="99" ht="15.75" customHeight="1">
      <c r="A99" s="298"/>
      <c r="B99" s="298"/>
      <c r="C99" s="298"/>
      <c r="D99" s="543"/>
      <c r="E99" s="298"/>
      <c r="F99" s="544"/>
      <c r="G99" s="298"/>
      <c r="H99" s="298"/>
      <c r="I99" s="298"/>
      <c r="J99" s="298"/>
      <c r="K99" s="298"/>
    </row>
    <row r="100" ht="15.75" customHeight="1">
      <c r="A100" s="298"/>
      <c r="B100" s="298"/>
      <c r="C100" s="298"/>
      <c r="D100" s="543"/>
      <c r="E100" s="298"/>
      <c r="F100" s="544"/>
      <c r="G100" s="298"/>
      <c r="H100" s="298"/>
      <c r="I100" s="298"/>
      <c r="J100" s="298"/>
      <c r="K100" s="298"/>
    </row>
    <row r="101" ht="15.75" customHeight="1">
      <c r="A101" s="298"/>
      <c r="B101" s="298"/>
      <c r="C101" s="298"/>
      <c r="D101" s="543"/>
      <c r="E101" s="298"/>
      <c r="F101" s="544"/>
      <c r="G101" s="298"/>
      <c r="H101" s="298"/>
      <c r="I101" s="298"/>
      <c r="J101" s="298"/>
      <c r="K101" s="298"/>
    </row>
    <row r="102" ht="15.75" customHeight="1">
      <c r="A102" s="298"/>
      <c r="B102" s="298"/>
      <c r="C102" s="298"/>
      <c r="D102" s="543"/>
      <c r="E102" s="298"/>
      <c r="F102" s="544"/>
      <c r="G102" s="298"/>
      <c r="H102" s="298"/>
      <c r="I102" s="298"/>
      <c r="J102" s="298"/>
      <c r="K102" s="298"/>
    </row>
    <row r="103" ht="15.75" customHeight="1">
      <c r="A103" s="298"/>
      <c r="B103" s="298"/>
      <c r="C103" s="298"/>
      <c r="D103" s="543"/>
      <c r="E103" s="298"/>
      <c r="F103" s="544"/>
      <c r="G103" s="298"/>
      <c r="H103" s="298"/>
      <c r="I103" s="298"/>
      <c r="J103" s="298"/>
      <c r="K103" s="298"/>
    </row>
    <row r="104" ht="15.75" customHeight="1">
      <c r="A104" s="298"/>
      <c r="B104" s="298"/>
      <c r="C104" s="298"/>
      <c r="D104" s="543"/>
      <c r="E104" s="298"/>
      <c r="F104" s="544"/>
      <c r="G104" s="298"/>
      <c r="H104" s="298"/>
      <c r="I104" s="298"/>
      <c r="J104" s="298"/>
      <c r="K104" s="298"/>
    </row>
    <row r="105" ht="15.75" customHeight="1">
      <c r="A105" s="298"/>
      <c r="B105" s="298"/>
      <c r="C105" s="298"/>
      <c r="D105" s="543"/>
      <c r="E105" s="298"/>
      <c r="F105" s="544"/>
      <c r="G105" s="298"/>
      <c r="H105" s="298"/>
      <c r="I105" s="298"/>
      <c r="J105" s="298"/>
      <c r="K105" s="298"/>
    </row>
    <row r="106" ht="15.75" customHeight="1">
      <c r="A106" s="298"/>
      <c r="B106" s="298"/>
      <c r="C106" s="298"/>
      <c r="D106" s="543"/>
      <c r="E106" s="298"/>
      <c r="F106" s="544"/>
      <c r="G106" s="298"/>
      <c r="H106" s="298"/>
      <c r="I106" s="298"/>
      <c r="J106" s="298"/>
      <c r="K106" s="298"/>
    </row>
    <row r="107" ht="15.75" customHeight="1">
      <c r="A107" s="298"/>
      <c r="B107" s="298"/>
      <c r="C107" s="298"/>
      <c r="D107" s="543"/>
      <c r="E107" s="298"/>
      <c r="F107" s="544"/>
      <c r="G107" s="298"/>
      <c r="H107" s="298"/>
      <c r="I107" s="298"/>
      <c r="J107" s="298"/>
      <c r="K107" s="298"/>
    </row>
    <row r="108" ht="15.75" customHeight="1">
      <c r="A108" s="298"/>
      <c r="B108" s="298"/>
      <c r="C108" s="298"/>
      <c r="D108" s="543"/>
      <c r="E108" s="298"/>
      <c r="F108" s="544"/>
      <c r="G108" s="298"/>
      <c r="H108" s="298"/>
      <c r="I108" s="298"/>
      <c r="J108" s="298"/>
      <c r="K108" s="298"/>
    </row>
    <row r="109" ht="15.75" customHeight="1">
      <c r="A109" s="298"/>
      <c r="B109" s="298"/>
      <c r="C109" s="298"/>
      <c r="D109" s="543"/>
      <c r="E109" s="298"/>
      <c r="F109" s="544"/>
      <c r="G109" s="298"/>
      <c r="H109" s="298"/>
      <c r="I109" s="298"/>
      <c r="J109" s="298"/>
      <c r="K109" s="298"/>
    </row>
    <row r="110" ht="15.75" customHeight="1">
      <c r="A110" s="298"/>
      <c r="B110" s="298"/>
      <c r="C110" s="298"/>
      <c r="D110" s="543"/>
      <c r="E110" s="298"/>
      <c r="F110" s="544"/>
      <c r="G110" s="298"/>
      <c r="H110" s="298"/>
      <c r="I110" s="298"/>
      <c r="J110" s="298"/>
      <c r="K110" s="298"/>
    </row>
    <row r="111" ht="15.75" customHeight="1">
      <c r="A111" s="298"/>
      <c r="B111" s="298"/>
      <c r="C111" s="298"/>
      <c r="D111" s="543"/>
      <c r="E111" s="298"/>
      <c r="F111" s="544"/>
      <c r="G111" s="298"/>
      <c r="H111" s="298"/>
      <c r="I111" s="298"/>
      <c r="J111" s="298"/>
      <c r="K111" s="298"/>
    </row>
    <row r="112" ht="15.75" customHeight="1">
      <c r="A112" s="298"/>
      <c r="B112" s="298"/>
      <c r="C112" s="298"/>
      <c r="D112" s="543"/>
      <c r="E112" s="298"/>
      <c r="F112" s="544"/>
      <c r="G112" s="298"/>
      <c r="H112" s="298"/>
      <c r="I112" s="298"/>
      <c r="J112" s="298"/>
      <c r="K112" s="298"/>
    </row>
    <row r="113" ht="15.75" customHeight="1">
      <c r="A113" s="298"/>
      <c r="B113" s="298"/>
      <c r="C113" s="298"/>
      <c r="D113" s="543"/>
      <c r="E113" s="298"/>
      <c r="F113" s="544"/>
      <c r="G113" s="298"/>
      <c r="H113" s="298"/>
      <c r="I113" s="298"/>
      <c r="J113" s="298"/>
      <c r="K113" s="298"/>
    </row>
    <row r="114" ht="15.75" customHeight="1">
      <c r="A114" s="298"/>
      <c r="B114" s="298"/>
      <c r="C114" s="298"/>
      <c r="D114" s="543"/>
      <c r="E114" s="298"/>
      <c r="F114" s="544"/>
      <c r="G114" s="298"/>
      <c r="H114" s="298"/>
      <c r="I114" s="298"/>
      <c r="J114" s="298"/>
      <c r="K114" s="298"/>
    </row>
    <row r="115" ht="15.75" customHeight="1">
      <c r="A115" s="298"/>
      <c r="B115" s="298"/>
      <c r="C115" s="298"/>
      <c r="D115" s="543"/>
      <c r="E115" s="298"/>
      <c r="F115" s="544"/>
      <c r="G115" s="298"/>
      <c r="H115" s="298"/>
      <c r="I115" s="298"/>
      <c r="J115" s="298"/>
      <c r="K115" s="298"/>
    </row>
    <row r="116" ht="15.75" customHeight="1">
      <c r="A116" s="298"/>
      <c r="B116" s="298"/>
      <c r="C116" s="298"/>
      <c r="D116" s="543"/>
      <c r="E116" s="298"/>
      <c r="F116" s="544"/>
      <c r="G116" s="298"/>
      <c r="H116" s="298"/>
      <c r="I116" s="298"/>
      <c r="J116" s="298"/>
      <c r="K116" s="298"/>
    </row>
    <row r="117" ht="15.75" customHeight="1">
      <c r="A117" s="298"/>
      <c r="B117" s="298"/>
      <c r="C117" s="298"/>
      <c r="D117" s="543"/>
      <c r="E117" s="298"/>
      <c r="F117" s="544"/>
      <c r="G117" s="298"/>
      <c r="H117" s="298"/>
      <c r="I117" s="298"/>
      <c r="J117" s="298"/>
      <c r="K117" s="298"/>
    </row>
    <row r="118" ht="15.75" customHeight="1">
      <c r="A118" s="298"/>
      <c r="B118" s="298"/>
      <c r="C118" s="298"/>
      <c r="D118" s="543"/>
      <c r="E118" s="298"/>
      <c r="F118" s="544"/>
      <c r="G118" s="298"/>
      <c r="H118" s="298"/>
      <c r="I118" s="298"/>
      <c r="J118" s="298"/>
      <c r="K118" s="298"/>
    </row>
    <row r="119" ht="15.75" customHeight="1">
      <c r="A119" s="298"/>
      <c r="B119" s="298"/>
      <c r="C119" s="298"/>
      <c r="D119" s="543"/>
      <c r="E119" s="298"/>
      <c r="F119" s="544"/>
      <c r="G119" s="298"/>
      <c r="H119" s="298"/>
      <c r="I119" s="298"/>
      <c r="J119" s="298"/>
      <c r="K119" s="298"/>
    </row>
    <row r="120" ht="15.75" customHeight="1">
      <c r="A120" s="298"/>
      <c r="B120" s="298"/>
      <c r="C120" s="298"/>
      <c r="D120" s="543"/>
      <c r="E120" s="298"/>
      <c r="F120" s="544"/>
      <c r="G120" s="298"/>
      <c r="H120" s="298"/>
      <c r="I120" s="298"/>
      <c r="J120" s="298"/>
      <c r="K120" s="298"/>
    </row>
    <row r="121" ht="15.75" customHeight="1">
      <c r="A121" s="298"/>
      <c r="B121" s="298"/>
      <c r="C121" s="298"/>
      <c r="D121" s="543"/>
      <c r="E121" s="298"/>
      <c r="F121" s="544"/>
      <c r="G121" s="298"/>
      <c r="H121" s="298"/>
      <c r="I121" s="298"/>
      <c r="J121" s="298"/>
      <c r="K121" s="298"/>
    </row>
    <row r="122" ht="15.75" customHeight="1">
      <c r="A122" s="298"/>
      <c r="B122" s="298"/>
      <c r="C122" s="298"/>
      <c r="D122" s="543"/>
      <c r="E122" s="298"/>
      <c r="F122" s="544"/>
      <c r="G122" s="298"/>
      <c r="H122" s="298"/>
      <c r="I122" s="298"/>
      <c r="J122" s="298"/>
      <c r="K122" s="298"/>
    </row>
    <row r="123" ht="15.75" customHeight="1">
      <c r="A123" s="298"/>
      <c r="B123" s="298"/>
      <c r="C123" s="298"/>
      <c r="D123" s="543"/>
      <c r="E123" s="298"/>
      <c r="F123" s="544"/>
      <c r="G123" s="298"/>
      <c r="H123" s="298"/>
      <c r="I123" s="298"/>
      <c r="J123" s="298"/>
      <c r="K123" s="298"/>
    </row>
    <row r="124" ht="15.75" customHeight="1">
      <c r="A124" s="298"/>
      <c r="B124" s="298"/>
      <c r="C124" s="298"/>
      <c r="D124" s="543"/>
      <c r="E124" s="298"/>
      <c r="F124" s="544"/>
      <c r="G124" s="298"/>
      <c r="H124" s="298"/>
      <c r="I124" s="298"/>
      <c r="J124" s="298"/>
      <c r="K124" s="298"/>
    </row>
    <row r="125" ht="15.75" customHeight="1">
      <c r="A125" s="298"/>
      <c r="B125" s="298"/>
      <c r="C125" s="298"/>
      <c r="D125" s="543"/>
      <c r="E125" s="298"/>
      <c r="F125" s="544"/>
      <c r="G125" s="298"/>
      <c r="H125" s="298"/>
      <c r="I125" s="298"/>
      <c r="J125" s="298"/>
      <c r="K125" s="298"/>
    </row>
    <row r="126" ht="15.75" customHeight="1">
      <c r="A126" s="298"/>
      <c r="B126" s="298"/>
      <c r="C126" s="298"/>
      <c r="D126" s="543"/>
      <c r="E126" s="298"/>
      <c r="F126" s="544"/>
      <c r="G126" s="298"/>
      <c r="H126" s="298"/>
      <c r="I126" s="298"/>
      <c r="J126" s="298"/>
      <c r="K126" s="298"/>
    </row>
    <row r="127" ht="15.75" customHeight="1">
      <c r="A127" s="298"/>
      <c r="B127" s="298"/>
      <c r="C127" s="298"/>
      <c r="D127" s="543"/>
      <c r="E127" s="298"/>
      <c r="F127" s="544"/>
      <c r="G127" s="298"/>
      <c r="H127" s="298"/>
      <c r="I127" s="298"/>
      <c r="J127" s="298"/>
      <c r="K127" s="298"/>
    </row>
    <row r="128" ht="15.75" customHeight="1">
      <c r="A128" s="298"/>
      <c r="B128" s="298"/>
      <c r="C128" s="298"/>
      <c r="D128" s="543"/>
      <c r="E128" s="298"/>
      <c r="F128" s="544"/>
      <c r="G128" s="298"/>
      <c r="H128" s="298"/>
      <c r="I128" s="298"/>
      <c r="J128" s="298"/>
      <c r="K128" s="298"/>
    </row>
    <row r="129" ht="15.75" customHeight="1">
      <c r="A129" s="298"/>
      <c r="B129" s="298"/>
      <c r="C129" s="298"/>
      <c r="D129" s="543"/>
      <c r="E129" s="298"/>
      <c r="F129" s="544"/>
      <c r="G129" s="298"/>
      <c r="H129" s="298"/>
      <c r="I129" s="298"/>
      <c r="J129" s="298"/>
      <c r="K129" s="298"/>
    </row>
    <row r="130" ht="15.75" customHeight="1">
      <c r="A130" s="298"/>
      <c r="B130" s="298"/>
      <c r="C130" s="298"/>
      <c r="D130" s="543"/>
      <c r="E130" s="298"/>
      <c r="F130" s="544"/>
      <c r="G130" s="298"/>
      <c r="H130" s="298"/>
      <c r="I130" s="298"/>
      <c r="J130" s="298"/>
      <c r="K130" s="298"/>
    </row>
    <row r="131" ht="15.75" customHeight="1">
      <c r="A131" s="298"/>
      <c r="B131" s="298"/>
      <c r="C131" s="298"/>
      <c r="D131" s="543"/>
      <c r="E131" s="298"/>
      <c r="F131" s="544"/>
      <c r="G131" s="298"/>
      <c r="H131" s="298"/>
      <c r="I131" s="298"/>
      <c r="J131" s="298"/>
      <c r="K131" s="298"/>
    </row>
    <row r="132" ht="15.75" customHeight="1">
      <c r="A132" s="298"/>
      <c r="B132" s="298"/>
      <c r="C132" s="298"/>
      <c r="D132" s="543"/>
      <c r="E132" s="298"/>
      <c r="F132" s="544"/>
      <c r="G132" s="298"/>
      <c r="H132" s="298"/>
      <c r="I132" s="298"/>
      <c r="J132" s="298"/>
      <c r="K132" s="298"/>
    </row>
    <row r="133" ht="15.75" customHeight="1">
      <c r="A133" s="298"/>
      <c r="B133" s="298"/>
      <c r="C133" s="298"/>
      <c r="D133" s="543"/>
      <c r="E133" s="298"/>
      <c r="F133" s="544"/>
      <c r="G133" s="298"/>
      <c r="H133" s="298"/>
      <c r="I133" s="298"/>
      <c r="J133" s="298"/>
      <c r="K133" s="298"/>
    </row>
    <row r="134" ht="15.75" customHeight="1">
      <c r="A134" s="298"/>
      <c r="B134" s="298"/>
      <c r="C134" s="298"/>
      <c r="D134" s="543"/>
      <c r="E134" s="298"/>
      <c r="F134" s="544"/>
      <c r="G134" s="298"/>
      <c r="H134" s="298"/>
      <c r="I134" s="298"/>
      <c r="J134" s="298"/>
      <c r="K134" s="298"/>
    </row>
    <row r="135" ht="15.75" customHeight="1">
      <c r="A135" s="298"/>
      <c r="B135" s="298"/>
      <c r="C135" s="298"/>
      <c r="D135" s="543"/>
      <c r="E135" s="298"/>
      <c r="F135" s="544"/>
      <c r="G135" s="298"/>
      <c r="H135" s="298"/>
      <c r="I135" s="298"/>
      <c r="J135" s="298"/>
      <c r="K135" s="298"/>
    </row>
    <row r="136" ht="15.75" customHeight="1">
      <c r="A136" s="298"/>
      <c r="B136" s="298"/>
      <c r="C136" s="298"/>
      <c r="D136" s="543"/>
      <c r="E136" s="298"/>
      <c r="F136" s="544"/>
      <c r="G136" s="298"/>
      <c r="H136" s="298"/>
      <c r="I136" s="298"/>
      <c r="J136" s="298"/>
      <c r="K136" s="298"/>
    </row>
    <row r="137" ht="15.75" customHeight="1">
      <c r="A137" s="298"/>
      <c r="B137" s="298"/>
      <c r="C137" s="298"/>
      <c r="D137" s="543"/>
      <c r="E137" s="298"/>
      <c r="F137" s="544"/>
      <c r="G137" s="298"/>
      <c r="H137" s="298"/>
      <c r="I137" s="298"/>
      <c r="J137" s="298"/>
      <c r="K137" s="298"/>
    </row>
    <row r="138" ht="15.75" customHeight="1">
      <c r="A138" s="298"/>
      <c r="B138" s="298"/>
      <c r="C138" s="298"/>
      <c r="D138" s="543"/>
      <c r="E138" s="298"/>
      <c r="F138" s="544"/>
      <c r="G138" s="298"/>
      <c r="H138" s="298"/>
      <c r="I138" s="298"/>
      <c r="J138" s="298"/>
      <c r="K138" s="298"/>
    </row>
    <row r="139" ht="15.75" customHeight="1">
      <c r="A139" s="298"/>
      <c r="B139" s="298"/>
      <c r="C139" s="298"/>
      <c r="D139" s="543"/>
      <c r="E139" s="298"/>
      <c r="F139" s="544"/>
      <c r="G139" s="298"/>
      <c r="H139" s="298"/>
      <c r="I139" s="298"/>
      <c r="J139" s="298"/>
      <c r="K139" s="298"/>
    </row>
    <row r="140" ht="15.75" customHeight="1">
      <c r="A140" s="298"/>
      <c r="B140" s="298"/>
      <c r="C140" s="298"/>
      <c r="D140" s="543"/>
      <c r="E140" s="298"/>
      <c r="F140" s="544"/>
      <c r="G140" s="298"/>
      <c r="H140" s="298"/>
      <c r="I140" s="298"/>
      <c r="J140" s="298"/>
      <c r="K140" s="298"/>
    </row>
    <row r="141" ht="15.75" customHeight="1">
      <c r="A141" s="298"/>
      <c r="B141" s="298"/>
      <c r="C141" s="298"/>
      <c r="D141" s="543"/>
      <c r="E141" s="298"/>
      <c r="F141" s="544"/>
      <c r="G141" s="298"/>
      <c r="H141" s="298"/>
      <c r="I141" s="298"/>
      <c r="J141" s="298"/>
      <c r="K141" s="298"/>
    </row>
    <row r="142" ht="15.75" customHeight="1">
      <c r="A142" s="298"/>
      <c r="B142" s="298"/>
      <c r="C142" s="298"/>
      <c r="D142" s="543"/>
      <c r="E142" s="298"/>
      <c r="F142" s="544"/>
      <c r="G142" s="298"/>
      <c r="H142" s="298"/>
      <c r="I142" s="298"/>
      <c r="J142" s="298"/>
      <c r="K142" s="298"/>
    </row>
    <row r="143" ht="15.75" customHeight="1">
      <c r="A143" s="298"/>
      <c r="B143" s="298"/>
      <c r="C143" s="298"/>
      <c r="D143" s="543"/>
      <c r="E143" s="298"/>
      <c r="F143" s="544"/>
      <c r="G143" s="298"/>
      <c r="H143" s="298"/>
      <c r="I143" s="298"/>
      <c r="J143" s="298"/>
      <c r="K143" s="298"/>
    </row>
    <row r="144" ht="15.75" customHeight="1">
      <c r="A144" s="298"/>
      <c r="B144" s="298"/>
      <c r="C144" s="298"/>
      <c r="D144" s="543"/>
      <c r="E144" s="298"/>
      <c r="F144" s="544"/>
      <c r="G144" s="298"/>
      <c r="H144" s="298"/>
      <c r="I144" s="298"/>
      <c r="J144" s="298"/>
      <c r="K144" s="298"/>
    </row>
    <row r="145" ht="15.75" customHeight="1">
      <c r="A145" s="298"/>
      <c r="B145" s="298"/>
      <c r="C145" s="298"/>
      <c r="D145" s="543"/>
      <c r="E145" s="298"/>
      <c r="F145" s="544"/>
      <c r="G145" s="298"/>
      <c r="H145" s="298"/>
      <c r="I145" s="298"/>
      <c r="J145" s="298"/>
      <c r="K145" s="298"/>
    </row>
    <row r="146" ht="15.75" customHeight="1">
      <c r="A146" s="298"/>
      <c r="B146" s="298"/>
      <c r="C146" s="298"/>
      <c r="D146" s="543"/>
      <c r="E146" s="298"/>
      <c r="F146" s="544"/>
      <c r="G146" s="298"/>
      <c r="H146" s="298"/>
      <c r="I146" s="298"/>
      <c r="J146" s="298"/>
      <c r="K146" s="298"/>
    </row>
    <row r="147" ht="15.75" customHeight="1">
      <c r="A147" s="298"/>
      <c r="B147" s="298"/>
      <c r="C147" s="298"/>
      <c r="D147" s="543"/>
      <c r="E147" s="298"/>
      <c r="F147" s="544"/>
      <c r="G147" s="298"/>
      <c r="H147" s="298"/>
      <c r="I147" s="298"/>
      <c r="J147" s="298"/>
      <c r="K147" s="298"/>
    </row>
    <row r="148" ht="15.75" customHeight="1">
      <c r="A148" s="298"/>
      <c r="B148" s="298"/>
      <c r="C148" s="298"/>
      <c r="D148" s="543"/>
      <c r="E148" s="298"/>
      <c r="F148" s="544"/>
      <c r="G148" s="298"/>
      <c r="H148" s="298"/>
      <c r="I148" s="298"/>
      <c r="J148" s="298"/>
      <c r="K148" s="298"/>
    </row>
    <row r="149" ht="15.75" customHeight="1">
      <c r="A149" s="298"/>
      <c r="B149" s="298"/>
      <c r="C149" s="298"/>
      <c r="D149" s="543"/>
      <c r="E149" s="298"/>
      <c r="F149" s="544"/>
      <c r="G149" s="298"/>
      <c r="H149" s="298"/>
      <c r="I149" s="298"/>
      <c r="J149" s="298"/>
      <c r="K149" s="298"/>
    </row>
    <row r="150" ht="15.75" customHeight="1">
      <c r="A150" s="298"/>
      <c r="B150" s="298"/>
      <c r="C150" s="298"/>
      <c r="D150" s="543"/>
      <c r="E150" s="298"/>
      <c r="F150" s="544"/>
      <c r="G150" s="298"/>
      <c r="H150" s="298"/>
      <c r="I150" s="298"/>
      <c r="J150" s="298"/>
      <c r="K150" s="298"/>
    </row>
    <row r="151" ht="15.75" customHeight="1">
      <c r="A151" s="298"/>
      <c r="B151" s="298"/>
      <c r="C151" s="298"/>
      <c r="D151" s="543"/>
      <c r="E151" s="298"/>
      <c r="F151" s="544"/>
      <c r="G151" s="298"/>
      <c r="H151" s="298"/>
      <c r="I151" s="298"/>
      <c r="J151" s="298"/>
      <c r="K151" s="298"/>
    </row>
    <row r="152" ht="15.75" customHeight="1">
      <c r="A152" s="298"/>
      <c r="B152" s="298"/>
      <c r="C152" s="298"/>
      <c r="D152" s="543"/>
      <c r="E152" s="298"/>
      <c r="F152" s="544"/>
      <c r="G152" s="298"/>
      <c r="H152" s="298"/>
      <c r="I152" s="298"/>
      <c r="J152" s="298"/>
      <c r="K152" s="298"/>
    </row>
    <row r="153" ht="15.75" customHeight="1">
      <c r="A153" s="298"/>
      <c r="B153" s="298"/>
      <c r="C153" s="298"/>
      <c r="D153" s="543"/>
      <c r="E153" s="298"/>
      <c r="F153" s="544"/>
      <c r="G153" s="298"/>
      <c r="H153" s="298"/>
      <c r="I153" s="298"/>
      <c r="J153" s="298"/>
      <c r="K153" s="298"/>
    </row>
    <row r="154" ht="15.75" customHeight="1">
      <c r="A154" s="298"/>
      <c r="B154" s="298"/>
      <c r="C154" s="298"/>
      <c r="D154" s="543"/>
      <c r="E154" s="298"/>
      <c r="F154" s="544"/>
      <c r="G154" s="298"/>
      <c r="H154" s="298"/>
      <c r="I154" s="298"/>
      <c r="J154" s="298"/>
      <c r="K154" s="298"/>
    </row>
    <row r="155" ht="15.75" customHeight="1">
      <c r="A155" s="298"/>
      <c r="B155" s="298"/>
      <c r="C155" s="298"/>
      <c r="D155" s="543"/>
      <c r="E155" s="298"/>
      <c r="F155" s="544"/>
      <c r="G155" s="298"/>
      <c r="H155" s="298"/>
      <c r="I155" s="298"/>
      <c r="J155" s="298"/>
      <c r="K155" s="298"/>
    </row>
    <row r="156" ht="15.75" customHeight="1">
      <c r="A156" s="298"/>
      <c r="B156" s="298"/>
      <c r="C156" s="298"/>
      <c r="D156" s="543"/>
      <c r="E156" s="298"/>
      <c r="F156" s="544"/>
      <c r="G156" s="298"/>
      <c r="H156" s="298"/>
      <c r="I156" s="298"/>
      <c r="J156" s="298"/>
      <c r="K156" s="298"/>
    </row>
    <row r="157" ht="15.75" customHeight="1">
      <c r="A157" s="298"/>
      <c r="B157" s="298"/>
      <c r="C157" s="298"/>
      <c r="D157" s="543"/>
      <c r="E157" s="298"/>
      <c r="F157" s="544"/>
      <c r="G157" s="298"/>
      <c r="H157" s="298"/>
      <c r="I157" s="298"/>
      <c r="J157" s="298"/>
      <c r="K157" s="298"/>
    </row>
    <row r="158" ht="15.75" customHeight="1">
      <c r="A158" s="298"/>
      <c r="B158" s="298"/>
      <c r="C158" s="298"/>
      <c r="D158" s="543"/>
      <c r="E158" s="298"/>
      <c r="F158" s="544"/>
      <c r="G158" s="298"/>
      <c r="H158" s="298"/>
      <c r="I158" s="298"/>
      <c r="J158" s="298"/>
      <c r="K158" s="298"/>
    </row>
    <row r="159" ht="15.75" customHeight="1">
      <c r="A159" s="298"/>
      <c r="B159" s="298"/>
      <c r="C159" s="298"/>
      <c r="D159" s="543"/>
      <c r="E159" s="298"/>
      <c r="F159" s="544"/>
      <c r="G159" s="298"/>
      <c r="H159" s="298"/>
      <c r="I159" s="298"/>
      <c r="J159" s="298"/>
      <c r="K159" s="298"/>
    </row>
    <row r="160" ht="15.75" customHeight="1">
      <c r="A160" s="298"/>
      <c r="B160" s="298"/>
      <c r="C160" s="298"/>
      <c r="D160" s="543"/>
      <c r="E160" s="298"/>
      <c r="F160" s="544"/>
      <c r="G160" s="298"/>
      <c r="H160" s="298"/>
      <c r="I160" s="298"/>
      <c r="J160" s="298"/>
      <c r="K160" s="298"/>
    </row>
    <row r="161" ht="15.75" customHeight="1">
      <c r="A161" s="298"/>
      <c r="B161" s="298"/>
      <c r="C161" s="298"/>
      <c r="D161" s="543"/>
      <c r="E161" s="298"/>
      <c r="F161" s="544"/>
      <c r="G161" s="298"/>
      <c r="H161" s="298"/>
      <c r="I161" s="298"/>
      <c r="J161" s="298"/>
      <c r="K161" s="298"/>
    </row>
    <row r="162" ht="15.75" customHeight="1">
      <c r="A162" s="298"/>
      <c r="B162" s="298"/>
      <c r="C162" s="298"/>
      <c r="D162" s="543"/>
      <c r="E162" s="298"/>
      <c r="F162" s="544"/>
      <c r="G162" s="298"/>
      <c r="H162" s="298"/>
      <c r="I162" s="298"/>
      <c r="J162" s="298"/>
      <c r="K162" s="298"/>
    </row>
    <row r="163" ht="15.75" customHeight="1">
      <c r="A163" s="298"/>
      <c r="B163" s="298"/>
      <c r="C163" s="298"/>
      <c r="D163" s="543"/>
      <c r="E163" s="298"/>
      <c r="F163" s="544"/>
      <c r="G163" s="298"/>
      <c r="H163" s="298"/>
      <c r="I163" s="298"/>
      <c r="J163" s="298"/>
      <c r="K163" s="298"/>
    </row>
    <row r="164" ht="15.75" customHeight="1">
      <c r="A164" s="298"/>
      <c r="B164" s="298"/>
      <c r="C164" s="298"/>
      <c r="D164" s="543"/>
      <c r="E164" s="298"/>
      <c r="F164" s="544"/>
      <c r="G164" s="298"/>
      <c r="H164" s="298"/>
      <c r="I164" s="298"/>
      <c r="J164" s="298"/>
      <c r="K164" s="298"/>
    </row>
    <row r="165" ht="15.75" customHeight="1">
      <c r="A165" s="298"/>
      <c r="B165" s="298"/>
      <c r="C165" s="298"/>
      <c r="D165" s="543"/>
      <c r="E165" s="298"/>
      <c r="F165" s="544"/>
      <c r="G165" s="298"/>
      <c r="H165" s="298"/>
      <c r="I165" s="298"/>
      <c r="J165" s="298"/>
      <c r="K165" s="298"/>
    </row>
    <row r="166" ht="15.75" customHeight="1">
      <c r="A166" s="298"/>
      <c r="B166" s="298"/>
      <c r="C166" s="298"/>
      <c r="D166" s="543"/>
      <c r="E166" s="298"/>
      <c r="F166" s="544"/>
      <c r="G166" s="298"/>
      <c r="H166" s="298"/>
      <c r="I166" s="298"/>
      <c r="J166" s="298"/>
      <c r="K166" s="298"/>
    </row>
    <row r="167" ht="15.75" customHeight="1">
      <c r="A167" s="298"/>
      <c r="B167" s="298"/>
      <c r="C167" s="298"/>
      <c r="D167" s="543"/>
      <c r="E167" s="298"/>
      <c r="F167" s="544"/>
      <c r="G167" s="298"/>
      <c r="H167" s="298"/>
      <c r="I167" s="298"/>
      <c r="J167" s="298"/>
      <c r="K167" s="298"/>
    </row>
    <row r="168" ht="15.75" customHeight="1">
      <c r="A168" s="298"/>
      <c r="B168" s="298"/>
      <c r="C168" s="298"/>
      <c r="D168" s="543"/>
      <c r="E168" s="298"/>
      <c r="F168" s="544"/>
      <c r="G168" s="298"/>
      <c r="H168" s="298"/>
      <c r="I168" s="298"/>
      <c r="J168" s="298"/>
      <c r="K168" s="298"/>
    </row>
    <row r="169" ht="15.75" customHeight="1">
      <c r="A169" s="298"/>
      <c r="B169" s="298"/>
      <c r="C169" s="298"/>
      <c r="D169" s="543"/>
      <c r="E169" s="298"/>
      <c r="F169" s="544"/>
      <c r="G169" s="298"/>
      <c r="H169" s="298"/>
      <c r="I169" s="298"/>
      <c r="J169" s="298"/>
      <c r="K169" s="298"/>
    </row>
    <row r="170" ht="15.75" customHeight="1">
      <c r="A170" s="298"/>
      <c r="B170" s="298"/>
      <c r="C170" s="298"/>
      <c r="D170" s="543"/>
      <c r="E170" s="298"/>
      <c r="F170" s="544"/>
      <c r="G170" s="298"/>
      <c r="H170" s="298"/>
      <c r="I170" s="298"/>
      <c r="J170" s="298"/>
      <c r="K170" s="298"/>
    </row>
    <row r="171" ht="15.75" customHeight="1">
      <c r="A171" s="298"/>
      <c r="B171" s="298"/>
      <c r="C171" s="298"/>
      <c r="D171" s="543"/>
      <c r="E171" s="298"/>
      <c r="F171" s="544"/>
      <c r="G171" s="298"/>
      <c r="H171" s="298"/>
      <c r="I171" s="298"/>
      <c r="J171" s="298"/>
      <c r="K171" s="298"/>
    </row>
    <row r="172" ht="15.75" customHeight="1">
      <c r="A172" s="298"/>
      <c r="B172" s="298"/>
      <c r="C172" s="298"/>
      <c r="D172" s="543"/>
      <c r="E172" s="298"/>
      <c r="F172" s="544"/>
      <c r="G172" s="298"/>
      <c r="H172" s="298"/>
      <c r="I172" s="298"/>
      <c r="J172" s="298"/>
      <c r="K172" s="298"/>
    </row>
    <row r="173" ht="15.75" customHeight="1">
      <c r="A173" s="298"/>
      <c r="B173" s="298"/>
      <c r="C173" s="298"/>
      <c r="D173" s="543"/>
      <c r="E173" s="298"/>
      <c r="F173" s="544"/>
      <c r="G173" s="298"/>
      <c r="H173" s="298"/>
      <c r="I173" s="298"/>
      <c r="J173" s="298"/>
      <c r="K173" s="298"/>
    </row>
    <row r="174" ht="15.75" customHeight="1">
      <c r="A174" s="298"/>
      <c r="B174" s="298"/>
      <c r="C174" s="298"/>
      <c r="D174" s="543"/>
      <c r="E174" s="298"/>
      <c r="F174" s="544"/>
      <c r="G174" s="298"/>
      <c r="H174" s="298"/>
      <c r="I174" s="298"/>
      <c r="J174" s="298"/>
      <c r="K174" s="298"/>
    </row>
    <row r="175" ht="15.75" customHeight="1">
      <c r="A175" s="298"/>
      <c r="B175" s="298"/>
      <c r="C175" s="298"/>
      <c r="D175" s="543"/>
      <c r="E175" s="298"/>
      <c r="F175" s="544"/>
      <c r="G175" s="298"/>
      <c r="H175" s="298"/>
      <c r="I175" s="298"/>
      <c r="J175" s="298"/>
      <c r="K175" s="298"/>
    </row>
    <row r="176" ht="15.75" customHeight="1">
      <c r="A176" s="298"/>
      <c r="B176" s="298"/>
      <c r="C176" s="298"/>
      <c r="D176" s="543"/>
      <c r="E176" s="298"/>
      <c r="F176" s="544"/>
      <c r="G176" s="298"/>
      <c r="H176" s="298"/>
      <c r="I176" s="298"/>
      <c r="J176" s="298"/>
      <c r="K176" s="298"/>
    </row>
    <row r="177" ht="15.75" customHeight="1">
      <c r="A177" s="298"/>
      <c r="B177" s="298"/>
      <c r="C177" s="298"/>
      <c r="D177" s="543"/>
      <c r="E177" s="298"/>
      <c r="F177" s="544"/>
      <c r="G177" s="298"/>
      <c r="H177" s="298"/>
      <c r="I177" s="298"/>
      <c r="J177" s="298"/>
      <c r="K177" s="298"/>
    </row>
    <row r="178" ht="15.75" customHeight="1">
      <c r="A178" s="298"/>
      <c r="B178" s="298"/>
      <c r="C178" s="298"/>
      <c r="D178" s="543"/>
      <c r="E178" s="298"/>
      <c r="F178" s="544"/>
      <c r="G178" s="298"/>
      <c r="H178" s="298"/>
      <c r="I178" s="298"/>
      <c r="J178" s="298"/>
      <c r="K178" s="298"/>
    </row>
    <row r="179" ht="15.75" customHeight="1">
      <c r="A179" s="298"/>
      <c r="B179" s="298"/>
      <c r="C179" s="298"/>
      <c r="D179" s="543"/>
      <c r="E179" s="298"/>
      <c r="F179" s="544"/>
      <c r="G179" s="298"/>
      <c r="H179" s="298"/>
      <c r="I179" s="298"/>
      <c r="J179" s="298"/>
      <c r="K179" s="298"/>
    </row>
    <row r="180" ht="15.75" customHeight="1">
      <c r="A180" s="298"/>
      <c r="B180" s="298"/>
      <c r="C180" s="298"/>
      <c r="D180" s="543"/>
      <c r="E180" s="298"/>
      <c r="F180" s="544"/>
      <c r="G180" s="298"/>
      <c r="H180" s="298"/>
      <c r="I180" s="298"/>
      <c r="J180" s="298"/>
      <c r="K180" s="298"/>
    </row>
    <row r="181" ht="15.75" customHeight="1">
      <c r="A181" s="298"/>
      <c r="B181" s="298"/>
      <c r="C181" s="298"/>
      <c r="D181" s="543"/>
      <c r="E181" s="298"/>
      <c r="F181" s="544"/>
      <c r="G181" s="298"/>
      <c r="H181" s="298"/>
      <c r="I181" s="298"/>
      <c r="J181" s="298"/>
      <c r="K181" s="298"/>
    </row>
    <row r="182" ht="15.75" customHeight="1">
      <c r="A182" s="298"/>
      <c r="B182" s="298"/>
      <c r="C182" s="298"/>
      <c r="D182" s="543"/>
      <c r="E182" s="298"/>
      <c r="F182" s="544"/>
      <c r="G182" s="298"/>
      <c r="H182" s="298"/>
      <c r="I182" s="298"/>
      <c r="J182" s="298"/>
      <c r="K182" s="298"/>
    </row>
    <row r="183" ht="15.75" customHeight="1">
      <c r="A183" s="298"/>
      <c r="B183" s="298"/>
      <c r="C183" s="298"/>
      <c r="D183" s="543"/>
      <c r="E183" s="298"/>
      <c r="F183" s="544"/>
      <c r="G183" s="298"/>
      <c r="H183" s="298"/>
      <c r="I183" s="298"/>
      <c r="J183" s="298"/>
      <c r="K183" s="298"/>
    </row>
    <row r="184" ht="15.75" customHeight="1">
      <c r="A184" s="298"/>
      <c r="B184" s="298"/>
      <c r="C184" s="298"/>
      <c r="D184" s="543"/>
      <c r="E184" s="298"/>
      <c r="F184" s="544"/>
      <c r="G184" s="298"/>
      <c r="H184" s="298"/>
      <c r="I184" s="298"/>
      <c r="J184" s="298"/>
      <c r="K184" s="298"/>
    </row>
    <row r="185" ht="15.75" customHeight="1">
      <c r="A185" s="298"/>
      <c r="B185" s="298"/>
      <c r="C185" s="298"/>
      <c r="D185" s="543"/>
      <c r="E185" s="298"/>
      <c r="F185" s="544"/>
      <c r="G185" s="298"/>
      <c r="H185" s="298"/>
      <c r="I185" s="298"/>
      <c r="J185" s="298"/>
      <c r="K185" s="298"/>
    </row>
    <row r="186" ht="15.75" customHeight="1">
      <c r="A186" s="298"/>
      <c r="B186" s="298"/>
      <c r="C186" s="298"/>
      <c r="D186" s="543"/>
      <c r="E186" s="298"/>
      <c r="F186" s="544"/>
      <c r="G186" s="298"/>
      <c r="H186" s="298"/>
      <c r="I186" s="298"/>
      <c r="J186" s="298"/>
      <c r="K186" s="298"/>
    </row>
    <row r="187" ht="15.75" customHeight="1">
      <c r="A187" s="298"/>
      <c r="B187" s="298"/>
      <c r="C187" s="298"/>
      <c r="D187" s="543"/>
      <c r="E187" s="298"/>
      <c r="F187" s="544"/>
      <c r="G187" s="298"/>
      <c r="H187" s="298"/>
      <c r="I187" s="298"/>
      <c r="J187" s="298"/>
      <c r="K187" s="298"/>
    </row>
    <row r="188" ht="15.75" customHeight="1">
      <c r="A188" s="298"/>
      <c r="B188" s="298"/>
      <c r="C188" s="298"/>
      <c r="D188" s="543"/>
      <c r="E188" s="298"/>
      <c r="F188" s="544"/>
      <c r="G188" s="298"/>
      <c r="H188" s="298"/>
      <c r="I188" s="298"/>
      <c r="J188" s="298"/>
      <c r="K188" s="298"/>
    </row>
    <row r="189" ht="15.75" customHeight="1">
      <c r="A189" s="298"/>
      <c r="B189" s="298"/>
      <c r="C189" s="298"/>
      <c r="D189" s="543"/>
      <c r="E189" s="298"/>
      <c r="F189" s="544"/>
      <c r="G189" s="298"/>
      <c r="H189" s="298"/>
      <c r="I189" s="298"/>
      <c r="J189" s="298"/>
      <c r="K189" s="298"/>
    </row>
    <row r="190" ht="15.75" customHeight="1">
      <c r="A190" s="298"/>
      <c r="B190" s="298"/>
      <c r="C190" s="298"/>
      <c r="D190" s="543"/>
      <c r="E190" s="298"/>
      <c r="F190" s="544"/>
      <c r="G190" s="298"/>
      <c r="H190" s="298"/>
      <c r="I190" s="298"/>
      <c r="J190" s="298"/>
      <c r="K190" s="298"/>
    </row>
    <row r="191" ht="15.75" customHeight="1">
      <c r="A191" s="298"/>
      <c r="B191" s="298"/>
      <c r="C191" s="298"/>
      <c r="D191" s="543"/>
      <c r="E191" s="298"/>
      <c r="F191" s="544"/>
      <c r="G191" s="298"/>
      <c r="H191" s="298"/>
      <c r="I191" s="298"/>
      <c r="J191" s="298"/>
      <c r="K191" s="298"/>
    </row>
    <row r="192" ht="15.75" customHeight="1">
      <c r="A192" s="298"/>
      <c r="B192" s="298"/>
      <c r="C192" s="298"/>
      <c r="D192" s="543"/>
      <c r="E192" s="298"/>
      <c r="F192" s="544"/>
      <c r="G192" s="298"/>
      <c r="H192" s="298"/>
      <c r="I192" s="298"/>
      <c r="J192" s="298"/>
      <c r="K192" s="298"/>
    </row>
    <row r="193" ht="15.75" customHeight="1">
      <c r="A193" s="298"/>
      <c r="B193" s="298"/>
      <c r="C193" s="298"/>
      <c r="D193" s="543"/>
      <c r="E193" s="298"/>
      <c r="F193" s="544"/>
      <c r="G193" s="298"/>
      <c r="H193" s="298"/>
      <c r="I193" s="298"/>
      <c r="J193" s="298"/>
      <c r="K193" s="298"/>
    </row>
    <row r="194" ht="15.75" customHeight="1">
      <c r="A194" s="298"/>
      <c r="B194" s="298"/>
      <c r="C194" s="298"/>
      <c r="D194" s="543"/>
      <c r="E194" s="298"/>
      <c r="F194" s="544"/>
      <c r="G194" s="298"/>
      <c r="H194" s="298"/>
      <c r="I194" s="298"/>
      <c r="J194" s="298"/>
      <c r="K194" s="298"/>
    </row>
    <row r="195" ht="15.75" customHeight="1">
      <c r="A195" s="298"/>
      <c r="B195" s="298"/>
      <c r="C195" s="298"/>
      <c r="D195" s="543"/>
      <c r="E195" s="298"/>
      <c r="F195" s="544"/>
      <c r="G195" s="298"/>
      <c r="H195" s="298"/>
      <c r="I195" s="298"/>
      <c r="J195" s="298"/>
      <c r="K195" s="298"/>
    </row>
    <row r="196" ht="15.75" customHeight="1">
      <c r="A196" s="298"/>
      <c r="B196" s="298"/>
      <c r="C196" s="298"/>
      <c r="D196" s="543"/>
      <c r="E196" s="298"/>
      <c r="F196" s="544"/>
      <c r="G196" s="298"/>
      <c r="H196" s="298"/>
      <c r="I196" s="298"/>
      <c r="J196" s="298"/>
      <c r="K196" s="298"/>
    </row>
    <row r="197" ht="15.75" customHeight="1">
      <c r="A197" s="298"/>
      <c r="B197" s="298"/>
      <c r="C197" s="298"/>
      <c r="D197" s="543"/>
      <c r="E197" s="298"/>
      <c r="F197" s="544"/>
      <c r="G197" s="298"/>
      <c r="H197" s="298"/>
      <c r="I197" s="298"/>
      <c r="J197" s="298"/>
      <c r="K197" s="298"/>
    </row>
    <row r="198" ht="15.75" customHeight="1">
      <c r="A198" s="298"/>
      <c r="B198" s="298"/>
      <c r="C198" s="298"/>
      <c r="D198" s="543"/>
      <c r="E198" s="298"/>
      <c r="F198" s="544"/>
      <c r="G198" s="298"/>
      <c r="H198" s="298"/>
      <c r="I198" s="298"/>
      <c r="J198" s="298"/>
      <c r="K198" s="298"/>
    </row>
    <row r="199" ht="15.75" customHeight="1">
      <c r="A199" s="298"/>
      <c r="B199" s="298"/>
      <c r="C199" s="298"/>
      <c r="D199" s="543"/>
      <c r="E199" s="298"/>
      <c r="F199" s="544"/>
      <c r="G199" s="298"/>
      <c r="H199" s="298"/>
      <c r="I199" s="298"/>
      <c r="J199" s="298"/>
      <c r="K199" s="298"/>
    </row>
    <row r="200" ht="15.75" customHeight="1">
      <c r="A200" s="298"/>
      <c r="B200" s="298"/>
      <c r="C200" s="298"/>
      <c r="D200" s="543"/>
      <c r="E200" s="298"/>
      <c r="F200" s="544"/>
      <c r="G200" s="298"/>
      <c r="H200" s="298"/>
      <c r="I200" s="298"/>
      <c r="J200" s="298"/>
      <c r="K200" s="298"/>
    </row>
    <row r="201" ht="15.75" customHeight="1">
      <c r="A201" s="298"/>
      <c r="B201" s="298"/>
      <c r="C201" s="298"/>
      <c r="D201" s="543"/>
      <c r="E201" s="298"/>
      <c r="F201" s="544"/>
      <c r="G201" s="298"/>
      <c r="H201" s="298"/>
      <c r="I201" s="298"/>
      <c r="J201" s="298"/>
      <c r="K201" s="298"/>
    </row>
    <row r="202" ht="15.75" customHeight="1">
      <c r="A202" s="298"/>
      <c r="B202" s="298"/>
      <c r="C202" s="298"/>
      <c r="D202" s="543"/>
      <c r="E202" s="298"/>
      <c r="F202" s="544"/>
      <c r="G202" s="298"/>
      <c r="H202" s="298"/>
      <c r="I202" s="298"/>
      <c r="J202" s="298"/>
      <c r="K202" s="298"/>
    </row>
    <row r="203" ht="15.75" customHeight="1">
      <c r="A203" s="298"/>
      <c r="B203" s="298"/>
      <c r="C203" s="298"/>
      <c r="D203" s="543"/>
      <c r="E203" s="298"/>
      <c r="F203" s="544"/>
      <c r="G203" s="298"/>
      <c r="H203" s="298"/>
      <c r="I203" s="298"/>
      <c r="J203" s="298"/>
      <c r="K203" s="298"/>
    </row>
    <row r="204" ht="15.75" customHeight="1">
      <c r="A204" s="298"/>
      <c r="B204" s="298"/>
      <c r="C204" s="298"/>
      <c r="D204" s="543"/>
      <c r="E204" s="298"/>
      <c r="F204" s="544"/>
      <c r="G204" s="298"/>
      <c r="H204" s="298"/>
      <c r="I204" s="298"/>
      <c r="J204" s="298"/>
      <c r="K204" s="298"/>
    </row>
    <row r="205" ht="15.75" customHeight="1">
      <c r="A205" s="298"/>
      <c r="B205" s="298"/>
      <c r="C205" s="298"/>
      <c r="D205" s="543"/>
      <c r="E205" s="298"/>
      <c r="F205" s="544"/>
      <c r="G205" s="298"/>
      <c r="H205" s="298"/>
      <c r="I205" s="298"/>
      <c r="J205" s="298"/>
      <c r="K205" s="298"/>
    </row>
    <row r="206" ht="15.75" customHeight="1">
      <c r="A206" s="298"/>
      <c r="B206" s="298"/>
      <c r="C206" s="298"/>
      <c r="D206" s="543"/>
      <c r="E206" s="298"/>
      <c r="F206" s="544"/>
      <c r="G206" s="298"/>
      <c r="H206" s="298"/>
      <c r="I206" s="298"/>
      <c r="J206" s="298"/>
      <c r="K206" s="298"/>
    </row>
    <row r="207" ht="15.75" customHeight="1">
      <c r="A207" s="298"/>
      <c r="B207" s="298"/>
      <c r="C207" s="298"/>
      <c r="D207" s="543"/>
      <c r="E207" s="298"/>
      <c r="F207" s="544"/>
      <c r="G207" s="298"/>
      <c r="H207" s="298"/>
      <c r="I207" s="298"/>
      <c r="J207" s="298"/>
      <c r="K207" s="298"/>
    </row>
    <row r="208" ht="15.75" customHeight="1">
      <c r="A208" s="298"/>
      <c r="B208" s="298"/>
      <c r="C208" s="298"/>
      <c r="D208" s="543"/>
      <c r="E208" s="298"/>
      <c r="F208" s="544"/>
      <c r="G208" s="298"/>
      <c r="H208" s="298"/>
      <c r="I208" s="298"/>
      <c r="J208" s="298"/>
      <c r="K208" s="298"/>
    </row>
    <row r="209" ht="15.75" customHeight="1">
      <c r="A209" s="298"/>
      <c r="B209" s="298"/>
      <c r="C209" s="298"/>
      <c r="D209" s="543"/>
      <c r="E209" s="298"/>
      <c r="F209" s="544"/>
      <c r="G209" s="298"/>
      <c r="H209" s="298"/>
      <c r="I209" s="298"/>
      <c r="J209" s="298"/>
      <c r="K209" s="298"/>
    </row>
    <row r="210" ht="15.75" customHeight="1">
      <c r="A210" s="298"/>
      <c r="B210" s="298"/>
      <c r="C210" s="298"/>
      <c r="D210" s="543"/>
      <c r="E210" s="298"/>
      <c r="F210" s="544"/>
      <c r="G210" s="298"/>
      <c r="H210" s="298"/>
      <c r="I210" s="298"/>
      <c r="J210" s="298"/>
      <c r="K210" s="298"/>
    </row>
    <row r="211" ht="15.75" customHeight="1">
      <c r="A211" s="298"/>
      <c r="B211" s="298"/>
      <c r="C211" s="298"/>
      <c r="D211" s="543"/>
      <c r="E211" s="298"/>
      <c r="F211" s="544"/>
      <c r="G211" s="298"/>
      <c r="H211" s="298"/>
      <c r="I211" s="298"/>
      <c r="J211" s="298"/>
      <c r="K211" s="298"/>
    </row>
    <row r="212" ht="15.75" customHeight="1">
      <c r="A212" s="298"/>
      <c r="B212" s="298"/>
      <c r="C212" s="298"/>
      <c r="D212" s="543"/>
      <c r="E212" s="298"/>
      <c r="F212" s="544"/>
      <c r="G212" s="298"/>
      <c r="H212" s="298"/>
      <c r="I212" s="298"/>
      <c r="J212" s="298"/>
      <c r="K212" s="298"/>
    </row>
    <row r="213" ht="15.75" customHeight="1">
      <c r="A213" s="298"/>
      <c r="B213" s="298"/>
      <c r="C213" s="298"/>
      <c r="D213" s="543"/>
      <c r="E213" s="298"/>
      <c r="F213" s="544"/>
      <c r="G213" s="298"/>
      <c r="H213" s="298"/>
      <c r="I213" s="298"/>
      <c r="J213" s="298"/>
      <c r="K213" s="298"/>
    </row>
    <row r="214" ht="15.75" customHeight="1">
      <c r="A214" s="298"/>
      <c r="B214" s="298"/>
      <c r="C214" s="298"/>
      <c r="D214" s="543"/>
      <c r="E214" s="298"/>
      <c r="F214" s="544"/>
      <c r="G214" s="298"/>
      <c r="H214" s="298"/>
      <c r="I214" s="298"/>
      <c r="J214" s="298"/>
      <c r="K214" s="298"/>
    </row>
    <row r="215" ht="15.75" customHeight="1">
      <c r="A215" s="298"/>
      <c r="B215" s="298"/>
      <c r="C215" s="298"/>
      <c r="D215" s="543"/>
      <c r="E215" s="298"/>
      <c r="F215" s="544"/>
      <c r="G215" s="298"/>
      <c r="H215" s="298"/>
      <c r="I215" s="298"/>
      <c r="J215" s="298"/>
      <c r="K215" s="298"/>
    </row>
    <row r="216" ht="15.75" customHeight="1">
      <c r="A216" s="298"/>
      <c r="B216" s="298"/>
      <c r="C216" s="298"/>
      <c r="D216" s="543"/>
      <c r="E216" s="298"/>
      <c r="F216" s="544"/>
      <c r="G216" s="298"/>
      <c r="H216" s="298"/>
      <c r="I216" s="298"/>
      <c r="J216" s="298"/>
      <c r="K216" s="298"/>
    </row>
    <row r="217" ht="15.75" customHeight="1">
      <c r="A217" s="298"/>
      <c r="B217" s="298"/>
      <c r="C217" s="298"/>
      <c r="D217" s="543"/>
      <c r="E217" s="298"/>
      <c r="F217" s="544"/>
      <c r="G217" s="298"/>
      <c r="H217" s="298"/>
      <c r="I217" s="298"/>
      <c r="J217" s="298"/>
      <c r="K217" s="298"/>
    </row>
    <row r="218" ht="15.75" customHeight="1">
      <c r="A218" s="298"/>
      <c r="B218" s="298"/>
      <c r="C218" s="298"/>
      <c r="D218" s="543"/>
      <c r="E218" s="298"/>
      <c r="F218" s="544"/>
      <c r="G218" s="298"/>
      <c r="H218" s="298"/>
      <c r="I218" s="298"/>
      <c r="J218" s="298"/>
      <c r="K218" s="298"/>
    </row>
    <row r="219" ht="15.75" customHeight="1">
      <c r="A219" s="298"/>
      <c r="B219" s="298"/>
      <c r="C219" s="298"/>
      <c r="D219" s="543"/>
      <c r="E219" s="298"/>
      <c r="F219" s="544"/>
      <c r="G219" s="298"/>
      <c r="H219" s="298"/>
      <c r="I219" s="298"/>
      <c r="J219" s="298"/>
      <c r="K219" s="298"/>
    </row>
    <row r="220" ht="15.75" customHeight="1">
      <c r="A220" s="298"/>
      <c r="B220" s="298"/>
      <c r="C220" s="298"/>
      <c r="D220" s="543"/>
      <c r="E220" s="298"/>
      <c r="F220" s="544"/>
      <c r="G220" s="298"/>
      <c r="H220" s="298"/>
      <c r="I220" s="298"/>
      <c r="J220" s="298"/>
      <c r="K220" s="298"/>
    </row>
    <row r="221" ht="15.75" customHeight="1">
      <c r="A221" s="298"/>
      <c r="B221" s="298"/>
      <c r="C221" s="298"/>
      <c r="D221" s="543"/>
      <c r="E221" s="298"/>
      <c r="F221" s="544"/>
      <c r="G221" s="298"/>
      <c r="H221" s="298"/>
      <c r="I221" s="298"/>
      <c r="J221" s="298"/>
      <c r="K221" s="298"/>
    </row>
    <row r="222" ht="15.75" customHeight="1">
      <c r="A222" s="298"/>
      <c r="B222" s="298"/>
      <c r="C222" s="298"/>
      <c r="D222" s="543"/>
      <c r="E222" s="298"/>
      <c r="F222" s="544"/>
      <c r="G222" s="298"/>
      <c r="H222" s="298"/>
      <c r="I222" s="298"/>
      <c r="J222" s="298"/>
      <c r="K222" s="298"/>
    </row>
    <row r="223" ht="15.75" customHeight="1">
      <c r="A223" s="298"/>
      <c r="B223" s="298"/>
      <c r="C223" s="298"/>
      <c r="D223" s="543"/>
      <c r="E223" s="298"/>
      <c r="F223" s="544"/>
      <c r="G223" s="298"/>
      <c r="H223" s="298"/>
      <c r="I223" s="298"/>
      <c r="J223" s="298"/>
      <c r="K223" s="298"/>
    </row>
    <row r="224" ht="15.75" customHeight="1">
      <c r="A224" s="298"/>
      <c r="B224" s="298"/>
      <c r="C224" s="298"/>
      <c r="D224" s="543"/>
      <c r="E224" s="298"/>
      <c r="F224" s="544"/>
      <c r="G224" s="298"/>
      <c r="H224" s="298"/>
      <c r="I224" s="298"/>
      <c r="J224" s="298"/>
      <c r="K224" s="298"/>
    </row>
    <row r="225" ht="15.75" customHeight="1">
      <c r="A225" s="298"/>
      <c r="B225" s="298"/>
      <c r="C225" s="298"/>
      <c r="D225" s="543"/>
      <c r="E225" s="298"/>
      <c r="F225" s="544"/>
      <c r="G225" s="298"/>
      <c r="H225" s="298"/>
      <c r="I225" s="298"/>
      <c r="J225" s="298"/>
      <c r="K225" s="298"/>
    </row>
    <row r="226" ht="15.75" customHeight="1">
      <c r="A226" s="298"/>
      <c r="B226" s="298"/>
      <c r="C226" s="298"/>
      <c r="D226" s="543"/>
      <c r="E226" s="298"/>
      <c r="F226" s="544"/>
      <c r="G226" s="298"/>
      <c r="H226" s="298"/>
      <c r="I226" s="298"/>
      <c r="J226" s="298"/>
      <c r="K226" s="298"/>
    </row>
    <row r="227" ht="15.75" customHeight="1">
      <c r="A227" s="298"/>
      <c r="B227" s="298"/>
      <c r="C227" s="298"/>
      <c r="D227" s="543"/>
      <c r="E227" s="298"/>
      <c r="F227" s="544"/>
      <c r="G227" s="298"/>
      <c r="H227" s="298"/>
      <c r="I227" s="298"/>
      <c r="J227" s="298"/>
      <c r="K227" s="298"/>
    </row>
    <row r="228" ht="15.75" customHeight="1">
      <c r="A228" s="298"/>
      <c r="B228" s="298"/>
      <c r="C228" s="298"/>
      <c r="D228" s="543"/>
      <c r="E228" s="298"/>
      <c r="F228" s="544"/>
      <c r="G228" s="298"/>
      <c r="H228" s="298"/>
      <c r="I228" s="298"/>
      <c r="J228" s="298"/>
      <c r="K228" s="298"/>
    </row>
    <row r="229" ht="15.75" customHeight="1">
      <c r="A229" s="298"/>
      <c r="B229" s="298"/>
      <c r="C229" s="298"/>
      <c r="D229" s="543"/>
      <c r="E229" s="298"/>
      <c r="F229" s="544"/>
      <c r="G229" s="298"/>
      <c r="H229" s="298"/>
      <c r="I229" s="298"/>
      <c r="J229" s="298"/>
      <c r="K229" s="298"/>
    </row>
    <row r="230" ht="15.75" customHeight="1">
      <c r="A230" s="298"/>
      <c r="B230" s="298"/>
      <c r="C230" s="298"/>
      <c r="D230" s="543"/>
      <c r="E230" s="298"/>
      <c r="F230" s="544"/>
      <c r="G230" s="298"/>
      <c r="H230" s="298"/>
      <c r="I230" s="298"/>
      <c r="J230" s="298"/>
      <c r="K230" s="298"/>
    </row>
    <row r="231" ht="15.75" customHeight="1">
      <c r="A231" s="298"/>
      <c r="B231" s="298"/>
      <c r="C231" s="298"/>
      <c r="D231" s="543"/>
      <c r="E231" s="298"/>
      <c r="F231" s="544"/>
      <c r="G231" s="298"/>
      <c r="H231" s="298"/>
      <c r="I231" s="298"/>
      <c r="J231" s="298"/>
      <c r="K231" s="298"/>
    </row>
    <row r="232" ht="15.75" customHeight="1">
      <c r="A232" s="298"/>
      <c r="B232" s="298"/>
      <c r="C232" s="298"/>
      <c r="D232" s="543"/>
      <c r="E232" s="298"/>
      <c r="F232" s="544"/>
      <c r="G232" s="298"/>
      <c r="H232" s="298"/>
      <c r="I232" s="298"/>
      <c r="J232" s="298"/>
      <c r="K232" s="298"/>
    </row>
    <row r="233" ht="15.75" customHeight="1">
      <c r="A233" s="298"/>
      <c r="B233" s="298"/>
      <c r="C233" s="298"/>
      <c r="D233" s="543"/>
      <c r="E233" s="298"/>
      <c r="F233" s="544"/>
      <c r="G233" s="298"/>
      <c r="H233" s="298"/>
      <c r="I233" s="298"/>
      <c r="J233" s="298"/>
      <c r="K233" s="298"/>
    </row>
    <row r="234" ht="15.75" customHeight="1">
      <c r="A234" s="298"/>
      <c r="B234" s="298"/>
      <c r="C234" s="298"/>
      <c r="D234" s="543"/>
      <c r="E234" s="298"/>
      <c r="F234" s="544"/>
      <c r="G234" s="298"/>
      <c r="H234" s="298"/>
      <c r="I234" s="298"/>
      <c r="J234" s="298"/>
      <c r="K234" s="298"/>
    </row>
    <row r="235" ht="15.75" customHeight="1">
      <c r="A235" s="298"/>
      <c r="B235" s="298"/>
      <c r="C235" s="298"/>
      <c r="D235" s="543"/>
      <c r="E235" s="298"/>
      <c r="F235" s="544"/>
      <c r="G235" s="298"/>
      <c r="H235" s="298"/>
      <c r="I235" s="298"/>
      <c r="J235" s="298"/>
      <c r="K235" s="298"/>
    </row>
    <row r="236" ht="15.75" customHeight="1">
      <c r="A236" s="298"/>
      <c r="B236" s="298"/>
      <c r="C236" s="298"/>
      <c r="D236" s="543"/>
      <c r="E236" s="298"/>
      <c r="F236" s="544"/>
      <c r="G236" s="298"/>
      <c r="H236" s="298"/>
      <c r="I236" s="298"/>
      <c r="J236" s="298"/>
      <c r="K236" s="298"/>
    </row>
    <row r="237" ht="15.75" customHeight="1">
      <c r="A237" s="298"/>
      <c r="B237" s="298"/>
      <c r="C237" s="298"/>
      <c r="D237" s="543"/>
      <c r="E237" s="298"/>
      <c r="F237" s="544"/>
      <c r="G237" s="298"/>
      <c r="H237" s="298"/>
      <c r="I237" s="298"/>
      <c r="J237" s="298"/>
      <c r="K237" s="298"/>
    </row>
    <row r="238" ht="15.75" customHeight="1">
      <c r="A238" s="298"/>
      <c r="B238" s="298"/>
      <c r="C238" s="298"/>
      <c r="D238" s="543"/>
      <c r="E238" s="298"/>
      <c r="F238" s="544"/>
      <c r="G238" s="298"/>
      <c r="H238" s="298"/>
      <c r="I238" s="298"/>
      <c r="J238" s="298"/>
      <c r="K238" s="298"/>
    </row>
    <row r="239" ht="15.75" customHeight="1">
      <c r="A239" s="298"/>
      <c r="B239" s="298"/>
      <c r="C239" s="298"/>
      <c r="D239" s="543"/>
      <c r="E239" s="298"/>
      <c r="F239" s="544"/>
      <c r="G239" s="298"/>
      <c r="H239" s="298"/>
      <c r="I239" s="298"/>
      <c r="J239" s="298"/>
      <c r="K239" s="298"/>
    </row>
    <row r="240" ht="15.75" customHeight="1">
      <c r="A240" s="298"/>
      <c r="B240" s="298"/>
      <c r="C240" s="298"/>
      <c r="D240" s="543"/>
      <c r="E240" s="298"/>
      <c r="F240" s="544"/>
      <c r="G240" s="298"/>
      <c r="H240" s="298"/>
      <c r="I240" s="298"/>
      <c r="J240" s="298"/>
      <c r="K240" s="298"/>
    </row>
    <row r="241" ht="15.75" customHeight="1">
      <c r="A241" s="298"/>
      <c r="B241" s="298"/>
      <c r="C241" s="298"/>
      <c r="D241" s="543"/>
      <c r="E241" s="298"/>
      <c r="F241" s="544"/>
      <c r="G241" s="298"/>
      <c r="H241" s="298"/>
      <c r="I241" s="298"/>
      <c r="J241" s="298"/>
      <c r="K241" s="298"/>
    </row>
    <row r="242" ht="15.75" customHeight="1">
      <c r="A242" s="298"/>
      <c r="B242" s="298"/>
      <c r="C242" s="298"/>
      <c r="D242" s="543"/>
      <c r="E242" s="298"/>
      <c r="F242" s="544"/>
      <c r="G242" s="298"/>
      <c r="H242" s="298"/>
      <c r="I242" s="298"/>
      <c r="J242" s="298"/>
      <c r="K242" s="298"/>
    </row>
    <row r="243" ht="15.75" customHeight="1">
      <c r="A243" s="298"/>
      <c r="B243" s="298"/>
      <c r="C243" s="298"/>
      <c r="D243" s="298"/>
      <c r="E243" s="298"/>
      <c r="F243" s="538"/>
      <c r="G243" s="298"/>
      <c r="H243" s="298"/>
      <c r="I243" s="298"/>
      <c r="J243" s="298"/>
      <c r="K243" s="298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E1:G1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.38"/>
    <col customWidth="1" min="3" max="3" width="42.63"/>
    <col customWidth="1" hidden="1" min="4" max="4" width="11.38"/>
    <col customWidth="1" hidden="1" min="5" max="5" width="12.75"/>
    <col customWidth="1" min="6" max="6" width="12.63"/>
    <col customWidth="1" min="7" max="7" width="15.13"/>
    <col customWidth="1" min="8" max="8" width="14.5"/>
    <col customWidth="1" min="9" max="9" width="15.13"/>
    <col customWidth="1" min="10" max="10" width="14.25"/>
    <col customWidth="1" min="11" max="11" width="16.38"/>
  </cols>
  <sheetData>
    <row r="1" ht="15.75" customHeight="1">
      <c r="A1" s="163" t="s">
        <v>203</v>
      </c>
      <c r="B1" s="545"/>
      <c r="C1" s="545"/>
      <c r="D1" s="545"/>
      <c r="E1" s="545"/>
      <c r="F1" s="546">
        <f t="shared" ref="F1:K1" si="1">F2+543</f>
        <v>2567</v>
      </c>
      <c r="G1" s="545">
        <f t="shared" si="1"/>
        <v>2568</v>
      </c>
      <c r="H1" s="545">
        <f t="shared" si="1"/>
        <v>2569</v>
      </c>
      <c r="I1" s="545">
        <f t="shared" si="1"/>
        <v>2570</v>
      </c>
      <c r="J1" s="545">
        <f t="shared" si="1"/>
        <v>2571</v>
      </c>
      <c r="K1" s="545">
        <f t="shared" si="1"/>
        <v>2572</v>
      </c>
    </row>
    <row r="2" ht="15.75" customHeight="1">
      <c r="A2" s="547" t="s">
        <v>100</v>
      </c>
      <c r="B2" s="428"/>
      <c r="C2" s="428"/>
      <c r="D2" s="428"/>
      <c r="E2" s="428"/>
      <c r="F2" s="546">
        <f t="shared" ref="F2:K2" si="2">YEAR(F4)</f>
        <v>2024</v>
      </c>
      <c r="G2" s="545">
        <f t="shared" si="2"/>
        <v>2025</v>
      </c>
      <c r="H2" s="545">
        <f t="shared" si="2"/>
        <v>2026</v>
      </c>
      <c r="I2" s="545">
        <f t="shared" si="2"/>
        <v>2027</v>
      </c>
      <c r="J2" s="545">
        <f t="shared" si="2"/>
        <v>2028</v>
      </c>
      <c r="K2" s="545">
        <f t="shared" si="2"/>
        <v>2029</v>
      </c>
    </row>
    <row r="3" ht="15.75" customHeight="1">
      <c r="A3" s="428" t="s">
        <v>101</v>
      </c>
      <c r="B3" s="428"/>
      <c r="C3" s="428"/>
      <c r="D3" s="428" t="s">
        <v>102</v>
      </c>
      <c r="E3" s="428" t="s">
        <v>103</v>
      </c>
      <c r="F3" s="548">
        <v>0.0</v>
      </c>
      <c r="G3" s="428">
        <f t="shared" ref="G3:K3" si="3">F3+1</f>
        <v>1</v>
      </c>
      <c r="H3" s="428">
        <f t="shared" si="3"/>
        <v>2</v>
      </c>
      <c r="I3" s="428">
        <f t="shared" si="3"/>
        <v>3</v>
      </c>
      <c r="J3" s="428">
        <f t="shared" si="3"/>
        <v>4</v>
      </c>
      <c r="K3" s="428">
        <f t="shared" si="3"/>
        <v>5</v>
      </c>
    </row>
    <row r="4" ht="15.75" customHeight="1">
      <c r="A4" s="417"/>
      <c r="B4" s="417"/>
      <c r="C4" s="417" t="s">
        <v>104</v>
      </c>
      <c r="D4" s="416"/>
      <c r="E4" s="417"/>
      <c r="F4" s="549">
        <v>45292.0</v>
      </c>
      <c r="G4" s="419">
        <f t="shared" ref="G4:K4" si="4">F5+1</f>
        <v>45658</v>
      </c>
      <c r="H4" s="419">
        <f t="shared" si="4"/>
        <v>46023</v>
      </c>
      <c r="I4" s="419">
        <f t="shared" si="4"/>
        <v>46388</v>
      </c>
      <c r="J4" s="419">
        <f t="shared" si="4"/>
        <v>46753</v>
      </c>
      <c r="K4" s="419">
        <f t="shared" si="4"/>
        <v>47119</v>
      </c>
    </row>
    <row r="5" ht="15.75" customHeight="1">
      <c r="A5" s="550"/>
      <c r="B5" s="550"/>
      <c r="C5" s="550" t="s">
        <v>105</v>
      </c>
      <c r="D5" s="551"/>
      <c r="E5" s="550"/>
      <c r="F5" s="552">
        <f t="shared" ref="F5:K5" si="5">eomonth(F4,11)</f>
        <v>45657</v>
      </c>
      <c r="G5" s="553">
        <f t="shared" si="5"/>
        <v>46022</v>
      </c>
      <c r="H5" s="553">
        <f t="shared" si="5"/>
        <v>46387</v>
      </c>
      <c r="I5" s="553">
        <f t="shared" si="5"/>
        <v>46752</v>
      </c>
      <c r="J5" s="553">
        <f t="shared" si="5"/>
        <v>47118</v>
      </c>
      <c r="K5" s="553">
        <f t="shared" si="5"/>
        <v>47483</v>
      </c>
    </row>
    <row r="6" ht="15.75" customHeight="1">
      <c r="A6" s="434"/>
      <c r="B6" s="434"/>
      <c r="C6" s="434"/>
      <c r="D6" s="433"/>
      <c r="E6" s="434"/>
      <c r="F6" s="554"/>
      <c r="G6" s="434"/>
      <c r="H6" s="464"/>
      <c r="I6" s="434"/>
      <c r="J6" s="434"/>
      <c r="K6" s="434"/>
    </row>
    <row r="7" ht="15.75" customHeight="1">
      <c r="A7" s="555" t="s">
        <v>233</v>
      </c>
      <c r="B7" s="555"/>
      <c r="C7" s="555"/>
      <c r="D7" s="556"/>
      <c r="E7" s="555"/>
      <c r="F7" s="557"/>
      <c r="G7" s="555"/>
      <c r="H7" s="558"/>
      <c r="I7" s="555"/>
      <c r="J7" s="555"/>
      <c r="K7" s="555"/>
    </row>
    <row r="8" ht="15.75" customHeight="1">
      <c r="A8" s="559"/>
      <c r="B8" s="559" t="s">
        <v>234</v>
      </c>
      <c r="C8" s="559"/>
      <c r="D8" s="439"/>
      <c r="E8" s="440"/>
      <c r="F8" s="560">
        <f>Assumption_sheet!E127</f>
        <v>16443308.13</v>
      </c>
      <c r="G8" s="442">
        <f>CashflowStatement!G24</f>
        <v>-62803415.71</v>
      </c>
      <c r="H8" s="442">
        <f>CashflowStatement!H24</f>
        <v>-52143831.16</v>
      </c>
      <c r="I8" s="442">
        <f>CashflowStatement!I24</f>
        <v>-11685919.4</v>
      </c>
      <c r="J8" s="442">
        <f>CashflowStatement!J24</f>
        <v>78614014.69</v>
      </c>
      <c r="K8" s="442">
        <f>CashflowStatement!K24</f>
        <v>209631085.1</v>
      </c>
    </row>
    <row r="9" ht="15.75" customHeight="1">
      <c r="A9" s="561"/>
      <c r="B9" s="464" t="s">
        <v>235</v>
      </c>
      <c r="C9" s="464"/>
      <c r="D9" s="463"/>
      <c r="E9" s="464"/>
      <c r="F9" s="560">
        <f>Assumption_sheet!E130</f>
        <v>35033773.7</v>
      </c>
      <c r="G9" s="464">
        <f>'Profit&amp;Loss'!G9*Assumption_sheet!I124/365</f>
        <v>94843967.12</v>
      </c>
      <c r="H9" s="464">
        <f>'Profit&amp;Loss'!H9*Assumption_sheet!J124/365</f>
        <v>107281753.4</v>
      </c>
      <c r="I9" s="464">
        <f>'Profit&amp;Loss'!I9*Assumption_sheet!K124/365</f>
        <v>128497646.6</v>
      </c>
      <c r="J9" s="464">
        <f>'Profit&amp;Loss'!J9*Assumption_sheet!L124/365</f>
        <v>145435472.7</v>
      </c>
      <c r="K9" s="464">
        <f>'Profit&amp;Loss'!K9*Assumption_sheet!M124/365</f>
        <v>162310741.1</v>
      </c>
    </row>
    <row r="10" ht="15.75" customHeight="1">
      <c r="A10" s="464"/>
      <c r="B10" s="442" t="s">
        <v>236</v>
      </c>
      <c r="C10" s="464"/>
      <c r="D10" s="463"/>
      <c r="E10" s="464"/>
      <c r="F10" s="562">
        <f>Assumption_sheet!E131</f>
        <v>50068561.91</v>
      </c>
      <c r="G10" s="464">
        <f>-'Profit&amp;Loss'!G14*Assumption_sheet!I125/365</f>
        <v>130915068.5</v>
      </c>
      <c r="H10" s="464">
        <f>-'Profit&amp;Loss'!H14*Assumption_sheet!J125/365</f>
        <v>151505095.9</v>
      </c>
      <c r="I10" s="464">
        <f>-'Profit&amp;Loss'!I14*Assumption_sheet!K125/365</f>
        <v>178379404.1</v>
      </c>
      <c r="J10" s="464">
        <f>-'Profit&amp;Loss'!J14*Assumption_sheet!L125/365</f>
        <v>199235139.2</v>
      </c>
      <c r="K10" s="464">
        <f>-'Profit&amp;Loss'!K14*Assumption_sheet!M125/365</f>
        <v>220175555.1</v>
      </c>
    </row>
    <row r="11" ht="15.75" customHeight="1">
      <c r="A11" s="464"/>
      <c r="B11" s="492" t="s">
        <v>237</v>
      </c>
      <c r="C11" s="492"/>
      <c r="D11" s="498"/>
      <c r="E11" s="492"/>
      <c r="F11" s="563">
        <f>sum(Assumption_sheet!E144,Assumption_sheet!E149)</f>
        <v>84059235.62</v>
      </c>
      <c r="G11" s="492">
        <f>sum(F11,Assumption_sheet!I170,-CashflowStatement!G16,-CashflowStatement!G10)</f>
        <v>86716853.1</v>
      </c>
      <c r="H11" s="492">
        <f>sum(G11,Assumption_sheet!J170,-CashflowStatement!H16,-CashflowStatement!H10)</f>
        <v>88378861.35</v>
      </c>
      <c r="I11" s="492">
        <f>sum(H11,Assumption_sheet!K170,-CashflowStatement!I16,-CashflowStatement!I10)</f>
        <v>91574361.37</v>
      </c>
      <c r="J11" s="492">
        <f>sum(I11,Assumption_sheet!L170,-CashflowStatement!J16,-CashflowStatement!J10)</f>
        <v>94065544.52</v>
      </c>
      <c r="K11" s="492">
        <f>sum(J11,Assumption_sheet!M170,-CashflowStatement!K16,-CashflowStatement!K10)</f>
        <v>95629440.03</v>
      </c>
    </row>
    <row r="12" ht="15.75" customHeight="1">
      <c r="A12" s="564"/>
      <c r="B12" s="564" t="s">
        <v>238</v>
      </c>
      <c r="C12" s="564"/>
      <c r="D12" s="565"/>
      <c r="E12" s="564"/>
      <c r="F12" s="566">
        <f t="shared" ref="F12:K12" si="6">SUM(F8:F11)</f>
        <v>185604879.4</v>
      </c>
      <c r="G12" s="564">
        <f t="shared" si="6"/>
        <v>249672473</v>
      </c>
      <c r="H12" s="564">
        <f t="shared" si="6"/>
        <v>295021879.5</v>
      </c>
      <c r="I12" s="564">
        <f t="shared" si="6"/>
        <v>386765492.7</v>
      </c>
      <c r="J12" s="564">
        <f t="shared" si="6"/>
        <v>517350171.2</v>
      </c>
      <c r="K12" s="564">
        <f t="shared" si="6"/>
        <v>687746821.4</v>
      </c>
    </row>
    <row r="13" ht="15.75" customHeight="1">
      <c r="A13" s="442"/>
      <c r="B13" s="442" t="s">
        <v>177</v>
      </c>
      <c r="C13" s="442"/>
      <c r="D13" s="567"/>
      <c r="E13" s="442"/>
      <c r="F13" s="568">
        <f>Assumption_sheet!E175</f>
        <v>18109417.74</v>
      </c>
      <c r="G13" s="442">
        <f>-'Profit&amp;Loss'!G14*Assumption_sheet!I126/365</f>
        <v>21819178.08</v>
      </c>
      <c r="H13" s="442">
        <f>-'Profit&amp;Loss'!H14*Assumption_sheet!J126/365</f>
        <v>25250849.32</v>
      </c>
      <c r="I13" s="442">
        <f>-'Profit&amp;Loss'!I14*Assumption_sheet!K126/365</f>
        <v>29729900.68</v>
      </c>
      <c r="J13" s="442">
        <f>-'Profit&amp;Loss'!J14*Assumption_sheet!L126/365</f>
        <v>33205856.54</v>
      </c>
      <c r="K13" s="442">
        <f>-'Profit&amp;Loss'!K14*Assumption_sheet!M126/365</f>
        <v>36695925.86</v>
      </c>
    </row>
    <row r="14" ht="15.75" customHeight="1">
      <c r="A14" s="464"/>
      <c r="B14" s="492" t="s">
        <v>239</v>
      </c>
      <c r="C14" s="492"/>
      <c r="D14" s="498"/>
      <c r="E14" s="492"/>
      <c r="F14" s="563">
        <f>sum(Assumption_sheet!E180,Assumption_sheet!E183)</f>
        <v>65190836.84</v>
      </c>
      <c r="G14" s="492">
        <f>F14+(Assumption_sheet!I192+Assumption_sheet!I199)</f>
        <v>63187632.98</v>
      </c>
      <c r="H14" s="492">
        <f>G14+(Assumption_sheet!J192+Assumption_sheet!J199)</f>
        <v>61184429.11</v>
      </c>
      <c r="I14" s="492">
        <f>H14+(Assumption_sheet!K192+Assumption_sheet!K199)</f>
        <v>59181225.25</v>
      </c>
      <c r="J14" s="492">
        <f>I14+(Assumption_sheet!L192+Assumption_sheet!L199)</f>
        <v>57178021.38</v>
      </c>
      <c r="K14" s="492">
        <f>J14+(Assumption_sheet!M192+Assumption_sheet!M199)</f>
        <v>57178021.38</v>
      </c>
    </row>
    <row r="15" ht="15.75" customHeight="1">
      <c r="A15" s="564"/>
      <c r="B15" s="569" t="s">
        <v>240</v>
      </c>
      <c r="C15" s="564"/>
      <c r="D15" s="565"/>
      <c r="E15" s="564"/>
      <c r="F15" s="566">
        <f t="shared" ref="F15:K15" si="7">SUM(F13:F14)</f>
        <v>83300254.58</v>
      </c>
      <c r="G15" s="564">
        <f t="shared" si="7"/>
        <v>85006811.06</v>
      </c>
      <c r="H15" s="564">
        <f t="shared" si="7"/>
        <v>86435278.43</v>
      </c>
      <c r="I15" s="564">
        <f t="shared" si="7"/>
        <v>88911125.93</v>
      </c>
      <c r="J15" s="564">
        <f t="shared" si="7"/>
        <v>90383877.92</v>
      </c>
      <c r="K15" s="564">
        <f t="shared" si="7"/>
        <v>93873947.24</v>
      </c>
    </row>
    <row r="16" ht="15.75" customHeight="1">
      <c r="A16" s="464"/>
      <c r="B16" s="570" t="s">
        <v>241</v>
      </c>
      <c r="C16" s="464"/>
      <c r="D16" s="463"/>
      <c r="E16" s="464"/>
      <c r="F16" s="560">
        <f>(Assumption_sheet!E150-Assumption_sheet!E187)+Assumption_sheet!$E$127</f>
        <v>102304624.8</v>
      </c>
      <c r="G16" s="464">
        <f t="shared" ref="G16:K16" si="8">F16</f>
        <v>102304624.8</v>
      </c>
      <c r="H16" s="464">
        <f t="shared" si="8"/>
        <v>102304624.8</v>
      </c>
      <c r="I16" s="464">
        <f t="shared" si="8"/>
        <v>102304624.8</v>
      </c>
      <c r="J16" s="464">
        <f t="shared" si="8"/>
        <v>102304624.8</v>
      </c>
      <c r="K16" s="464">
        <f t="shared" si="8"/>
        <v>102304624.8</v>
      </c>
    </row>
    <row r="17" ht="15.75" customHeight="1">
      <c r="A17" s="464"/>
      <c r="B17" s="571" t="s">
        <v>242</v>
      </c>
      <c r="C17" s="492"/>
      <c r="D17" s="498"/>
      <c r="E17" s="492"/>
      <c r="F17" s="563">
        <v>0.0</v>
      </c>
      <c r="G17" s="492">
        <f>F17+'Profit&amp;Loss'!G42</f>
        <v>62361037.17</v>
      </c>
      <c r="H17" s="492">
        <f>G17+'Profit&amp;Loss'!H42</f>
        <v>106281976.3</v>
      </c>
      <c r="I17" s="492">
        <f>H17+'Profit&amp;Loss'!I42</f>
        <v>195549741.9</v>
      </c>
      <c r="J17" s="492">
        <f>I17+'Profit&amp;Loss'!J42</f>
        <v>324661668.5</v>
      </c>
      <c r="K17" s="492">
        <f>J17+'Profit&amp;Loss'!K42</f>
        <v>491568249.4</v>
      </c>
    </row>
    <row r="18" ht="15.75" customHeight="1">
      <c r="A18" s="564"/>
      <c r="B18" s="572" t="s">
        <v>243</v>
      </c>
      <c r="C18" s="573"/>
      <c r="D18" s="574"/>
      <c r="E18" s="573"/>
      <c r="F18" s="575">
        <f t="shared" ref="F18:K18" si="9">sum(F16:F17)</f>
        <v>102304624.8</v>
      </c>
      <c r="G18" s="572">
        <f t="shared" si="9"/>
        <v>164665662</v>
      </c>
      <c r="H18" s="572">
        <f t="shared" si="9"/>
        <v>208586601.1</v>
      </c>
      <c r="I18" s="572">
        <f t="shared" si="9"/>
        <v>297854366.7</v>
      </c>
      <c r="J18" s="572">
        <f t="shared" si="9"/>
        <v>426966293.3</v>
      </c>
      <c r="K18" s="572">
        <f t="shared" si="9"/>
        <v>593872874.2</v>
      </c>
    </row>
    <row r="19" ht="15.75" customHeight="1">
      <c r="A19" s="564"/>
      <c r="B19" s="576" t="s">
        <v>244</v>
      </c>
      <c r="C19" s="564"/>
      <c r="D19" s="565"/>
      <c r="E19" s="564"/>
      <c r="F19" s="566">
        <f t="shared" ref="F19:K19" si="10">F15+F18</f>
        <v>185604879.4</v>
      </c>
      <c r="G19" s="564">
        <f t="shared" si="10"/>
        <v>249672473</v>
      </c>
      <c r="H19" s="564">
        <f t="shared" si="10"/>
        <v>295021879.5</v>
      </c>
      <c r="I19" s="564">
        <f t="shared" si="10"/>
        <v>386765492.7</v>
      </c>
      <c r="J19" s="564">
        <f t="shared" si="10"/>
        <v>517350171.2</v>
      </c>
      <c r="K19" s="564">
        <f t="shared" si="10"/>
        <v>687746821.4</v>
      </c>
    </row>
    <row r="20" ht="15.75" customHeight="1">
      <c r="A20" s="577"/>
      <c r="B20" s="578" t="s">
        <v>245</v>
      </c>
      <c r="C20" s="563"/>
      <c r="D20" s="579"/>
      <c r="E20" s="563"/>
      <c r="F20" s="563">
        <f t="shared" ref="F20:K20" si="11">F12-F19</f>
        <v>0.00000002980232239</v>
      </c>
      <c r="G20" s="563">
        <f t="shared" si="11"/>
        <v>0</v>
      </c>
      <c r="H20" s="563">
        <f t="shared" si="11"/>
        <v>0.00000005960464478</v>
      </c>
      <c r="I20" s="563">
        <f t="shared" si="11"/>
        <v>0</v>
      </c>
      <c r="J20" s="563">
        <f t="shared" si="11"/>
        <v>0</v>
      </c>
      <c r="K20" s="563">
        <f t="shared" si="11"/>
        <v>0.0000001192092896</v>
      </c>
    </row>
    <row r="21" ht="15.75" customHeight="1">
      <c r="A21" s="540"/>
      <c r="B21" s="580"/>
      <c r="C21" s="540"/>
      <c r="D21" s="541"/>
      <c r="E21" s="540"/>
      <c r="F21" s="581"/>
      <c r="G21" s="540"/>
      <c r="H21" s="540"/>
      <c r="I21" s="540"/>
      <c r="J21" s="540"/>
      <c r="K21" s="540"/>
    </row>
    <row r="22" ht="15.75" customHeight="1">
      <c r="A22" s="539"/>
      <c r="B22" s="539"/>
      <c r="C22" s="539"/>
      <c r="D22" s="582"/>
      <c r="E22" s="539"/>
      <c r="F22" s="583"/>
      <c r="G22" s="539"/>
      <c r="H22" s="540"/>
      <c r="I22" s="539"/>
      <c r="J22" s="539"/>
      <c r="K22" s="539"/>
    </row>
    <row r="23" ht="15.75" customHeight="1">
      <c r="A23" s="540"/>
      <c r="B23" s="540"/>
      <c r="C23" s="540"/>
      <c r="D23" s="541"/>
      <c r="E23" s="540"/>
      <c r="F23" s="581"/>
      <c r="G23" s="540"/>
      <c r="H23" s="540"/>
      <c r="I23" s="540"/>
      <c r="J23" s="540"/>
      <c r="K23" s="540"/>
    </row>
    <row r="24" ht="15.75" customHeight="1">
      <c r="A24" s="584"/>
      <c r="B24" s="325"/>
      <c r="C24" s="325"/>
      <c r="D24" s="585"/>
      <c r="E24" s="584"/>
      <c r="F24" s="584"/>
      <c r="G24" s="584"/>
      <c r="H24" s="581"/>
      <c r="I24" s="584"/>
      <c r="J24" s="584"/>
      <c r="K24" s="584"/>
    </row>
    <row r="25" ht="15.75" customHeight="1">
      <c r="A25" s="201"/>
      <c r="B25" s="536"/>
      <c r="C25" s="201"/>
      <c r="D25" s="537"/>
      <c r="E25" s="539"/>
      <c r="F25" s="325"/>
      <c r="G25" s="201"/>
      <c r="H25" s="540"/>
      <c r="I25" s="201"/>
      <c r="J25" s="201"/>
      <c r="K25" s="201"/>
    </row>
    <row r="26" ht="15.75" customHeight="1">
      <c r="A26" s="540"/>
      <c r="B26" s="201"/>
      <c r="C26" s="540"/>
      <c r="D26" s="541"/>
      <c r="E26" s="540"/>
      <c r="F26" s="581"/>
      <c r="G26" s="540"/>
      <c r="H26" s="540"/>
      <c r="I26" s="540"/>
      <c r="J26" s="540"/>
      <c r="K26" s="540"/>
    </row>
    <row r="27" ht="15.75" customHeight="1">
      <c r="A27" s="540"/>
      <c r="B27" s="201"/>
      <c r="C27" s="540"/>
      <c r="D27" s="541"/>
      <c r="E27" s="540"/>
      <c r="F27" s="581"/>
      <c r="G27" s="540"/>
      <c r="H27" s="540"/>
      <c r="I27" s="540"/>
      <c r="J27" s="540"/>
      <c r="K27" s="540"/>
    </row>
    <row r="28" ht="15.75" customHeight="1">
      <c r="A28" s="584"/>
      <c r="B28" s="584"/>
      <c r="C28" s="584"/>
      <c r="D28" s="585"/>
      <c r="E28" s="584"/>
      <c r="F28" s="584"/>
      <c r="G28" s="584"/>
      <c r="H28" s="581"/>
      <c r="I28" s="584"/>
      <c r="J28" s="584"/>
      <c r="K28" s="584"/>
    </row>
    <row r="29" ht="15.75" customHeight="1">
      <c r="A29" s="540"/>
      <c r="B29" s="201"/>
      <c r="C29" s="540"/>
      <c r="D29" s="541"/>
      <c r="E29" s="540"/>
      <c r="F29" s="581"/>
      <c r="G29" s="540"/>
      <c r="H29" s="540"/>
      <c r="I29" s="540"/>
      <c r="J29" s="540"/>
      <c r="K29" s="540"/>
    </row>
    <row r="30" ht="15.75" customHeight="1">
      <c r="A30" s="540"/>
      <c r="B30" s="201"/>
      <c r="C30" s="540"/>
      <c r="D30" s="541"/>
      <c r="E30" s="540"/>
      <c r="F30" s="581"/>
      <c r="G30" s="540"/>
      <c r="H30" s="540"/>
      <c r="I30" s="540"/>
      <c r="J30" s="540"/>
      <c r="K30" s="540"/>
    </row>
    <row r="31" ht="15.75" customHeight="1">
      <c r="A31" s="533"/>
      <c r="B31" s="201"/>
      <c r="C31" s="533"/>
      <c r="D31" s="534"/>
      <c r="E31" s="533"/>
      <c r="F31" s="584"/>
      <c r="G31" s="533"/>
      <c r="H31" s="540"/>
      <c r="I31" s="533"/>
      <c r="J31" s="533"/>
      <c r="K31" s="533"/>
    </row>
    <row r="32" ht="15.75" customHeight="1">
      <c r="A32" s="201"/>
      <c r="B32" s="201"/>
      <c r="C32" s="201"/>
      <c r="D32" s="537"/>
      <c r="E32" s="540"/>
      <c r="F32" s="325"/>
      <c r="G32" s="201"/>
      <c r="H32" s="540"/>
      <c r="I32" s="201"/>
      <c r="J32" s="201"/>
      <c r="K32" s="201"/>
    </row>
    <row r="33" ht="15.75" customHeight="1">
      <c r="A33" s="533"/>
      <c r="B33" s="201"/>
      <c r="C33" s="533"/>
      <c r="D33" s="534"/>
      <c r="E33" s="533"/>
      <c r="F33" s="584"/>
      <c r="G33" s="533"/>
      <c r="H33" s="540"/>
      <c r="I33" s="533"/>
      <c r="J33" s="533"/>
      <c r="K33" s="533"/>
    </row>
    <row r="34" ht="15.75" customHeight="1">
      <c r="A34" s="201"/>
      <c r="B34" s="201"/>
      <c r="C34" s="201"/>
      <c r="D34" s="537"/>
      <c r="E34" s="201"/>
      <c r="F34" s="325"/>
      <c r="G34" s="201"/>
      <c r="H34" s="540"/>
      <c r="I34" s="201"/>
      <c r="J34" s="201"/>
      <c r="K34" s="201"/>
    </row>
    <row r="35" ht="15.75" customHeight="1">
      <c r="A35" s="201"/>
      <c r="B35" s="536"/>
      <c r="C35" s="201"/>
      <c r="D35" s="537"/>
      <c r="E35" s="201"/>
      <c r="F35" s="325"/>
      <c r="G35" s="201"/>
      <c r="H35" s="540"/>
      <c r="I35" s="201"/>
      <c r="J35" s="201"/>
      <c r="K35" s="201"/>
    </row>
    <row r="36" ht="15.75" customHeight="1">
      <c r="A36" s="201"/>
      <c r="B36" s="201"/>
      <c r="C36" s="201"/>
      <c r="D36" s="537"/>
      <c r="E36" s="201"/>
      <c r="F36" s="325"/>
      <c r="G36" s="201"/>
      <c r="H36" s="540"/>
      <c r="I36" s="201"/>
      <c r="J36" s="201"/>
      <c r="K36" s="201"/>
    </row>
    <row r="37" ht="15.75" customHeight="1">
      <c r="A37" s="201"/>
      <c r="B37" s="201"/>
      <c r="C37" s="201"/>
      <c r="D37" s="537"/>
      <c r="E37" s="201"/>
      <c r="F37" s="325"/>
      <c r="G37" s="201"/>
      <c r="H37" s="540"/>
      <c r="I37" s="201"/>
      <c r="J37" s="201"/>
      <c r="K37" s="201"/>
    </row>
    <row r="38" ht="15.75" customHeight="1">
      <c r="A38" s="201"/>
      <c r="B38" s="201"/>
      <c r="C38" s="201"/>
      <c r="D38" s="537"/>
      <c r="E38" s="201"/>
      <c r="F38" s="325"/>
      <c r="G38" s="201"/>
      <c r="H38" s="540"/>
      <c r="I38" s="201"/>
      <c r="J38" s="201"/>
      <c r="K38" s="201"/>
    </row>
    <row r="39" ht="15.75" customHeight="1">
      <c r="A39" s="201"/>
      <c r="B39" s="201"/>
      <c r="C39" s="201"/>
      <c r="D39" s="537"/>
      <c r="E39" s="201"/>
      <c r="F39" s="325"/>
      <c r="G39" s="201"/>
      <c r="H39" s="540"/>
      <c r="I39" s="201"/>
      <c r="J39" s="201"/>
      <c r="K39" s="201"/>
    </row>
    <row r="40" ht="15.75" customHeight="1">
      <c r="A40" s="536"/>
      <c r="B40" s="201"/>
      <c r="C40" s="201"/>
      <c r="D40" s="537"/>
      <c r="E40" s="201"/>
      <c r="F40" s="325"/>
      <c r="G40" s="201"/>
      <c r="H40" s="540"/>
      <c r="I40" s="201"/>
      <c r="J40" s="201"/>
      <c r="K40" s="201"/>
    </row>
    <row r="41" ht="15.75" customHeight="1">
      <c r="A41" s="201"/>
      <c r="B41" s="201"/>
      <c r="C41" s="201"/>
      <c r="D41" s="537"/>
      <c r="E41" s="540"/>
      <c r="F41" s="325"/>
      <c r="G41" s="201"/>
      <c r="H41" s="540"/>
      <c r="I41" s="201"/>
      <c r="J41" s="201"/>
      <c r="K41" s="201"/>
    </row>
    <row r="42" ht="15.75" customHeight="1">
      <c r="A42" s="201"/>
      <c r="B42" s="201"/>
      <c r="C42" s="201"/>
      <c r="D42" s="537"/>
      <c r="E42" s="540"/>
      <c r="F42" s="325"/>
      <c r="G42" s="201"/>
      <c r="H42" s="540"/>
      <c r="I42" s="201"/>
      <c r="J42" s="201"/>
      <c r="K42" s="201"/>
    </row>
    <row r="43" ht="15.75" customHeight="1">
      <c r="A43" s="201"/>
      <c r="B43" s="201"/>
      <c r="C43" s="201"/>
      <c r="D43" s="537"/>
      <c r="E43" s="540"/>
      <c r="F43" s="325"/>
      <c r="G43" s="201"/>
      <c r="H43" s="540"/>
      <c r="I43" s="201"/>
      <c r="J43" s="201"/>
      <c r="K43" s="201"/>
    </row>
    <row r="44" ht="15.75" customHeight="1">
      <c r="A44" s="201"/>
      <c r="B44" s="201"/>
      <c r="C44" s="201"/>
      <c r="D44" s="537"/>
      <c r="E44" s="540"/>
      <c r="F44" s="325"/>
      <c r="G44" s="201"/>
      <c r="H44" s="540"/>
      <c r="I44" s="201"/>
      <c r="J44" s="201"/>
      <c r="K44" s="201"/>
    </row>
    <row r="45" ht="15.75" customHeight="1">
      <c r="A45" s="201"/>
      <c r="B45" s="201"/>
      <c r="C45" s="201"/>
      <c r="D45" s="537"/>
      <c r="E45" s="540"/>
      <c r="F45" s="325"/>
      <c r="G45" s="201"/>
      <c r="H45" s="540"/>
      <c r="I45" s="201"/>
      <c r="J45" s="201"/>
      <c r="K45" s="201"/>
    </row>
    <row r="46" ht="15.75" customHeight="1">
      <c r="A46" s="201"/>
      <c r="B46" s="201"/>
      <c r="C46" s="536"/>
      <c r="D46" s="537"/>
      <c r="E46" s="201"/>
      <c r="F46" s="325"/>
      <c r="G46" s="201"/>
      <c r="H46" s="540"/>
      <c r="I46" s="201"/>
      <c r="J46" s="201"/>
      <c r="K46" s="201"/>
    </row>
    <row r="47" ht="15.75" customHeight="1">
      <c r="A47" s="201"/>
      <c r="B47" s="201"/>
      <c r="C47" s="201"/>
      <c r="D47" s="537"/>
      <c r="E47" s="201"/>
      <c r="F47" s="325"/>
      <c r="G47" s="201"/>
      <c r="H47" s="540"/>
      <c r="I47" s="201"/>
      <c r="J47" s="201"/>
      <c r="K47" s="201"/>
    </row>
    <row r="48" ht="15.75" customHeight="1">
      <c r="A48" s="201"/>
      <c r="B48" s="536"/>
      <c r="C48" s="201"/>
      <c r="D48" s="537"/>
      <c r="E48" s="201"/>
      <c r="F48" s="325"/>
      <c r="G48" s="201"/>
      <c r="H48" s="540"/>
      <c r="I48" s="201"/>
      <c r="J48" s="201"/>
      <c r="K48" s="201"/>
    </row>
    <row r="49" ht="15.75" customHeight="1">
      <c r="A49" s="540"/>
      <c r="B49" s="540"/>
      <c r="C49" s="540"/>
      <c r="D49" s="541"/>
      <c r="E49" s="542"/>
      <c r="F49" s="581"/>
      <c r="G49" s="540"/>
      <c r="H49" s="540"/>
      <c r="I49" s="540"/>
      <c r="J49" s="540"/>
      <c r="K49" s="540"/>
    </row>
    <row r="50" ht="15.75" customHeight="1">
      <c r="A50" s="201"/>
      <c r="B50" s="201"/>
      <c r="C50" s="201"/>
      <c r="D50" s="537"/>
      <c r="E50" s="201"/>
      <c r="F50" s="325"/>
      <c r="G50" s="540"/>
      <c r="H50" s="540"/>
      <c r="I50" s="540"/>
      <c r="J50" s="540"/>
      <c r="K50" s="540"/>
    </row>
    <row r="51" ht="15.75" customHeight="1">
      <c r="A51" s="201"/>
      <c r="B51" s="201"/>
      <c r="C51" s="201"/>
      <c r="D51" s="537"/>
      <c r="E51" s="201"/>
      <c r="F51" s="325"/>
      <c r="G51" s="540"/>
      <c r="H51" s="540"/>
      <c r="I51" s="201"/>
      <c r="J51" s="201"/>
      <c r="K51" s="201"/>
    </row>
    <row r="52" ht="15.75" customHeight="1">
      <c r="A52" s="201"/>
      <c r="B52" s="201"/>
      <c r="C52" s="201"/>
      <c r="D52" s="537"/>
      <c r="E52" s="201"/>
      <c r="F52" s="325"/>
      <c r="G52" s="540"/>
      <c r="H52" s="540"/>
      <c r="I52" s="540"/>
      <c r="J52" s="540"/>
      <c r="K52" s="540"/>
    </row>
    <row r="53" ht="15.75" customHeight="1">
      <c r="A53" s="201"/>
      <c r="B53" s="201"/>
      <c r="C53" s="201"/>
      <c r="D53" s="537"/>
      <c r="E53" s="201"/>
      <c r="F53" s="325"/>
      <c r="G53" s="540"/>
      <c r="H53" s="540"/>
      <c r="I53" s="540"/>
      <c r="J53" s="540"/>
      <c r="K53" s="540"/>
    </row>
    <row r="54" ht="15.75" customHeight="1">
      <c r="A54" s="201"/>
      <c r="B54" s="201"/>
      <c r="C54" s="536"/>
      <c r="D54" s="537"/>
      <c r="E54" s="201"/>
      <c r="F54" s="325"/>
      <c r="G54" s="201"/>
      <c r="H54" s="540"/>
      <c r="I54" s="201"/>
      <c r="J54" s="201"/>
      <c r="K54" s="201"/>
    </row>
    <row r="55" ht="15.75" customHeight="1">
      <c r="A55" s="536"/>
      <c r="B55" s="201"/>
      <c r="C55" s="201"/>
      <c r="D55" s="537"/>
      <c r="E55" s="201"/>
      <c r="F55" s="325"/>
      <c r="G55" s="201"/>
      <c r="H55" s="540"/>
      <c r="I55" s="201"/>
      <c r="J55" s="201"/>
      <c r="K55" s="201"/>
    </row>
    <row r="56" ht="15.75" customHeight="1">
      <c r="A56" s="201"/>
      <c r="B56" s="201"/>
      <c r="C56" s="201"/>
      <c r="D56" s="534"/>
      <c r="E56" s="533"/>
      <c r="F56" s="325"/>
      <c r="G56" s="201"/>
      <c r="H56" s="540"/>
      <c r="I56" s="201"/>
      <c r="J56" s="201"/>
      <c r="K56" s="201"/>
    </row>
    <row r="57" ht="15.75" customHeight="1">
      <c r="A57" s="201"/>
      <c r="B57" s="201"/>
      <c r="C57" s="201"/>
      <c r="D57" s="537"/>
      <c r="E57" s="540"/>
      <c r="F57" s="325"/>
      <c r="G57" s="201"/>
      <c r="H57" s="540"/>
      <c r="I57" s="201"/>
      <c r="J57" s="201"/>
      <c r="K57" s="201"/>
    </row>
    <row r="58" ht="15.75" customHeight="1">
      <c r="A58" s="201"/>
      <c r="B58" s="201"/>
      <c r="C58" s="201"/>
      <c r="D58" s="537"/>
      <c r="E58" s="201"/>
      <c r="F58" s="325"/>
      <c r="G58" s="201"/>
      <c r="H58" s="540"/>
      <c r="I58" s="201"/>
      <c r="J58" s="201"/>
      <c r="K58" s="201"/>
    </row>
    <row r="59" ht="15.75" customHeight="1">
      <c r="A59" s="533"/>
      <c r="B59" s="533"/>
      <c r="C59" s="533"/>
      <c r="D59" s="534"/>
      <c r="E59" s="533"/>
      <c r="F59" s="584"/>
      <c r="G59" s="533"/>
      <c r="H59" s="540"/>
      <c r="I59" s="533"/>
      <c r="J59" s="533"/>
      <c r="K59" s="533"/>
    </row>
    <row r="60" ht="15.75" customHeight="1">
      <c r="A60" s="201"/>
      <c r="B60" s="201"/>
      <c r="C60" s="201"/>
      <c r="D60" s="537"/>
      <c r="E60" s="201"/>
      <c r="F60" s="325"/>
      <c r="G60" s="201"/>
      <c r="H60" s="540"/>
      <c r="I60" s="201"/>
      <c r="J60" s="201"/>
      <c r="K60" s="201"/>
    </row>
    <row r="61" ht="15.75" customHeight="1">
      <c r="A61" s="201"/>
      <c r="B61" s="201"/>
      <c r="C61" s="201"/>
      <c r="D61" s="537"/>
      <c r="E61" s="201"/>
      <c r="F61" s="325"/>
      <c r="G61" s="201"/>
      <c r="H61" s="540"/>
      <c r="I61" s="201"/>
      <c r="J61" s="201"/>
      <c r="K61" s="201"/>
    </row>
    <row r="62" ht="15.75" customHeight="1">
      <c r="A62" s="201"/>
      <c r="B62" s="201"/>
      <c r="C62" s="201"/>
      <c r="D62" s="537"/>
      <c r="E62" s="201"/>
      <c r="F62" s="325"/>
      <c r="G62" s="201"/>
      <c r="H62" s="540"/>
      <c r="I62" s="201"/>
      <c r="J62" s="201"/>
      <c r="K62" s="201"/>
    </row>
    <row r="63" ht="15.75" customHeight="1">
      <c r="A63" s="201"/>
      <c r="B63" s="201"/>
      <c r="C63" s="201"/>
      <c r="D63" s="537"/>
      <c r="E63" s="201"/>
      <c r="F63" s="325"/>
      <c r="G63" s="201"/>
      <c r="H63" s="540"/>
      <c r="I63" s="201"/>
      <c r="J63" s="201"/>
      <c r="K63" s="201"/>
    </row>
    <row r="64" ht="15.75" customHeight="1">
      <c r="A64" s="540"/>
      <c r="B64" s="540"/>
      <c r="C64" s="540"/>
      <c r="D64" s="541"/>
      <c r="E64" s="540"/>
      <c r="F64" s="581"/>
      <c r="G64" s="540"/>
      <c r="H64" s="540"/>
      <c r="I64" s="540"/>
      <c r="J64" s="540"/>
      <c r="K64" s="540"/>
    </row>
    <row r="65" ht="15.75" customHeight="1">
      <c r="A65" s="540"/>
      <c r="B65" s="540"/>
      <c r="C65" s="540"/>
      <c r="D65" s="541"/>
      <c r="E65" s="540"/>
      <c r="F65" s="581"/>
      <c r="G65" s="540"/>
      <c r="H65" s="540"/>
      <c r="I65" s="540"/>
      <c r="J65" s="540"/>
      <c r="K65" s="540"/>
    </row>
    <row r="66" ht="15.75" customHeight="1">
      <c r="A66" s="201"/>
      <c r="B66" s="201"/>
      <c r="C66" s="201"/>
      <c r="D66" s="537"/>
      <c r="E66" s="201"/>
      <c r="F66" s="325"/>
      <c r="G66" s="201"/>
      <c r="H66" s="540"/>
      <c r="I66" s="201"/>
      <c r="J66" s="201"/>
      <c r="K66" s="201"/>
    </row>
    <row r="67" ht="15.75" customHeight="1">
      <c r="A67" s="540"/>
      <c r="B67" s="540"/>
      <c r="C67" s="540"/>
      <c r="D67" s="541"/>
      <c r="E67" s="540"/>
      <c r="F67" s="581"/>
      <c r="G67" s="540"/>
      <c r="H67" s="540"/>
      <c r="I67" s="540"/>
      <c r="J67" s="540"/>
      <c r="K67" s="540"/>
    </row>
    <row r="68" ht="15.75" customHeight="1">
      <c r="A68" s="201"/>
      <c r="B68" s="201"/>
      <c r="C68" s="201"/>
      <c r="D68" s="537"/>
      <c r="E68" s="201"/>
      <c r="F68" s="325"/>
      <c r="G68" s="201"/>
      <c r="H68" s="540"/>
      <c r="I68" s="201"/>
      <c r="J68" s="201"/>
      <c r="K68" s="201"/>
    </row>
    <row r="69" ht="15.75" customHeight="1">
      <c r="A69" s="201"/>
      <c r="B69" s="201"/>
      <c r="C69" s="201"/>
      <c r="D69" s="537"/>
      <c r="E69" s="201"/>
      <c r="F69" s="325"/>
      <c r="G69" s="201"/>
      <c r="H69" s="540"/>
      <c r="I69" s="201"/>
      <c r="J69" s="201"/>
      <c r="K69" s="201"/>
    </row>
    <row r="70" ht="15.75" customHeight="1">
      <c r="A70" s="298"/>
      <c r="B70" s="298"/>
      <c r="C70" s="298"/>
      <c r="D70" s="543"/>
      <c r="E70" s="298"/>
      <c r="F70" s="586"/>
      <c r="G70" s="298"/>
      <c r="H70" s="580"/>
      <c r="I70" s="298"/>
      <c r="J70" s="298"/>
      <c r="K70" s="298"/>
    </row>
    <row r="71" ht="15.75" customHeight="1">
      <c r="A71" s="298"/>
      <c r="B71" s="298"/>
      <c r="C71" s="298"/>
      <c r="D71" s="543"/>
      <c r="E71" s="298"/>
      <c r="F71" s="586"/>
      <c r="G71" s="298"/>
      <c r="H71" s="580"/>
      <c r="I71" s="298"/>
      <c r="J71" s="298"/>
      <c r="K71" s="298"/>
    </row>
    <row r="72" ht="15.75" customHeight="1">
      <c r="A72" s="298"/>
      <c r="B72" s="298"/>
      <c r="C72" s="298"/>
      <c r="D72" s="543"/>
      <c r="E72" s="298"/>
      <c r="F72" s="586"/>
      <c r="G72" s="298"/>
      <c r="H72" s="580"/>
      <c r="I72" s="298"/>
      <c r="J72" s="298"/>
      <c r="K72" s="298"/>
    </row>
    <row r="73" ht="15.75" customHeight="1">
      <c r="A73" s="298"/>
      <c r="B73" s="298"/>
      <c r="C73" s="298"/>
      <c r="D73" s="543"/>
      <c r="E73" s="298"/>
      <c r="F73" s="586"/>
      <c r="G73" s="298"/>
      <c r="H73" s="580"/>
      <c r="I73" s="298"/>
      <c r="J73" s="298"/>
      <c r="K73" s="298"/>
    </row>
    <row r="74" ht="15.75" customHeight="1">
      <c r="A74" s="298"/>
      <c r="B74" s="298"/>
      <c r="C74" s="298"/>
      <c r="D74" s="543"/>
      <c r="E74" s="298"/>
      <c r="F74" s="586"/>
      <c r="G74" s="298"/>
      <c r="H74" s="580"/>
      <c r="I74" s="298"/>
      <c r="J74" s="298"/>
      <c r="K74" s="298"/>
    </row>
    <row r="75" ht="15.75" customHeight="1">
      <c r="A75" s="298"/>
      <c r="B75" s="298"/>
      <c r="C75" s="298"/>
      <c r="D75" s="543"/>
      <c r="E75" s="298"/>
      <c r="F75" s="586"/>
      <c r="G75" s="298"/>
      <c r="H75" s="580"/>
      <c r="I75" s="298"/>
      <c r="J75" s="298"/>
      <c r="K75" s="298"/>
    </row>
    <row r="76" ht="15.75" customHeight="1">
      <c r="A76" s="298"/>
      <c r="B76" s="298"/>
      <c r="C76" s="298"/>
      <c r="D76" s="543"/>
      <c r="E76" s="298"/>
      <c r="F76" s="586"/>
      <c r="G76" s="298"/>
      <c r="H76" s="580"/>
      <c r="I76" s="298"/>
      <c r="J76" s="298"/>
      <c r="K76" s="298"/>
    </row>
    <row r="77" ht="15.75" customHeight="1">
      <c r="A77" s="298"/>
      <c r="B77" s="298"/>
      <c r="C77" s="298"/>
      <c r="D77" s="543"/>
      <c r="E77" s="298"/>
      <c r="F77" s="586"/>
      <c r="G77" s="298"/>
      <c r="H77" s="580"/>
      <c r="I77" s="298"/>
      <c r="J77" s="298"/>
      <c r="K77" s="298"/>
    </row>
    <row r="78" ht="15.75" customHeight="1">
      <c r="A78" s="298"/>
      <c r="B78" s="298"/>
      <c r="C78" s="298"/>
      <c r="D78" s="543"/>
      <c r="E78" s="298"/>
      <c r="F78" s="586"/>
      <c r="G78" s="298"/>
      <c r="H78" s="580"/>
      <c r="I78" s="298"/>
      <c r="J78" s="298"/>
      <c r="K78" s="298"/>
    </row>
    <row r="79" ht="15.75" customHeight="1">
      <c r="A79" s="298"/>
      <c r="B79" s="298"/>
      <c r="C79" s="298"/>
      <c r="D79" s="543"/>
      <c r="E79" s="298"/>
      <c r="F79" s="586"/>
      <c r="G79" s="298"/>
      <c r="H79" s="580"/>
      <c r="I79" s="298"/>
      <c r="J79" s="298"/>
      <c r="K79" s="298"/>
    </row>
    <row r="80" ht="15.75" customHeight="1">
      <c r="A80" s="298"/>
      <c r="B80" s="298"/>
      <c r="C80" s="298"/>
      <c r="D80" s="543"/>
      <c r="E80" s="298"/>
      <c r="F80" s="586"/>
      <c r="G80" s="298"/>
      <c r="H80" s="580"/>
      <c r="I80" s="298"/>
      <c r="J80" s="298"/>
      <c r="K80" s="298"/>
    </row>
    <row r="81" ht="15.75" customHeight="1">
      <c r="A81" s="298"/>
      <c r="B81" s="298"/>
      <c r="C81" s="298"/>
      <c r="D81" s="543"/>
      <c r="E81" s="298"/>
      <c r="F81" s="586"/>
      <c r="G81" s="298"/>
      <c r="H81" s="580"/>
      <c r="I81" s="298"/>
      <c r="J81" s="298"/>
      <c r="K81" s="298"/>
    </row>
    <row r="82" ht="15.75" customHeight="1">
      <c r="A82" s="298"/>
      <c r="B82" s="298"/>
      <c r="C82" s="298"/>
      <c r="D82" s="543"/>
      <c r="E82" s="298"/>
      <c r="F82" s="586"/>
      <c r="G82" s="298"/>
      <c r="H82" s="580"/>
      <c r="I82" s="298"/>
      <c r="J82" s="298"/>
      <c r="K82" s="298"/>
    </row>
    <row r="83" ht="15.75" customHeight="1">
      <c r="A83" s="298"/>
      <c r="B83" s="298"/>
      <c r="C83" s="298"/>
      <c r="D83" s="543"/>
      <c r="E83" s="298"/>
      <c r="F83" s="586"/>
      <c r="G83" s="298"/>
      <c r="H83" s="580"/>
      <c r="I83" s="298"/>
      <c r="J83" s="298"/>
      <c r="K83" s="298"/>
    </row>
    <row r="84" ht="15.75" customHeight="1">
      <c r="A84" s="298"/>
      <c r="B84" s="298"/>
      <c r="C84" s="298"/>
      <c r="D84" s="543"/>
      <c r="E84" s="298"/>
      <c r="F84" s="586"/>
      <c r="G84" s="298"/>
      <c r="H84" s="580"/>
      <c r="I84" s="298"/>
      <c r="J84" s="298"/>
      <c r="K84" s="298"/>
    </row>
    <row r="85" ht="15.75" customHeight="1">
      <c r="A85" s="298"/>
      <c r="B85" s="298"/>
      <c r="C85" s="298"/>
      <c r="D85" s="543"/>
      <c r="E85" s="298"/>
      <c r="F85" s="586"/>
      <c r="G85" s="298"/>
      <c r="H85" s="580"/>
      <c r="I85" s="298"/>
      <c r="J85" s="298"/>
      <c r="K85" s="298"/>
    </row>
    <row r="86" ht="15.75" customHeight="1">
      <c r="A86" s="298"/>
      <c r="B86" s="298"/>
      <c r="C86" s="298"/>
      <c r="D86" s="543"/>
      <c r="E86" s="298"/>
      <c r="F86" s="586"/>
      <c r="G86" s="298"/>
      <c r="H86" s="580"/>
      <c r="I86" s="298"/>
      <c r="J86" s="298"/>
      <c r="K86" s="298"/>
    </row>
    <row r="87" ht="15.75" customHeight="1">
      <c r="A87" s="298"/>
      <c r="B87" s="298"/>
      <c r="C87" s="298"/>
      <c r="D87" s="543"/>
      <c r="E87" s="298"/>
      <c r="F87" s="586"/>
      <c r="G87" s="298"/>
      <c r="H87" s="580"/>
      <c r="I87" s="298"/>
      <c r="J87" s="298"/>
      <c r="K87" s="298"/>
    </row>
    <row r="88" ht="15.75" customHeight="1">
      <c r="A88" s="298"/>
      <c r="B88" s="298"/>
      <c r="C88" s="298"/>
      <c r="D88" s="543"/>
      <c r="E88" s="298"/>
      <c r="F88" s="586"/>
      <c r="G88" s="298"/>
      <c r="H88" s="580"/>
      <c r="I88" s="298"/>
      <c r="J88" s="298"/>
      <c r="K88" s="298"/>
    </row>
    <row r="89" ht="15.75" customHeight="1">
      <c r="A89" s="298"/>
      <c r="B89" s="298"/>
      <c r="C89" s="298"/>
      <c r="D89" s="543"/>
      <c r="E89" s="298"/>
      <c r="F89" s="586"/>
      <c r="G89" s="298"/>
      <c r="H89" s="580"/>
      <c r="I89" s="298"/>
      <c r="J89" s="298"/>
      <c r="K89" s="298"/>
    </row>
    <row r="90" ht="15.75" customHeight="1">
      <c r="A90" s="298"/>
      <c r="B90" s="298"/>
      <c r="C90" s="298"/>
      <c r="D90" s="543"/>
      <c r="E90" s="298"/>
      <c r="F90" s="586"/>
      <c r="G90" s="298"/>
      <c r="H90" s="580"/>
      <c r="I90" s="298"/>
      <c r="J90" s="298"/>
      <c r="K90" s="298"/>
    </row>
    <row r="91" ht="15.75" customHeight="1">
      <c r="A91" s="298"/>
      <c r="B91" s="298"/>
      <c r="C91" s="298"/>
      <c r="D91" s="543"/>
      <c r="E91" s="298"/>
      <c r="F91" s="586"/>
      <c r="G91" s="298"/>
      <c r="H91" s="580"/>
      <c r="I91" s="298"/>
      <c r="J91" s="298"/>
      <c r="K91" s="298"/>
    </row>
    <row r="92" ht="15.75" customHeight="1">
      <c r="A92" s="298"/>
      <c r="B92" s="298"/>
      <c r="C92" s="298"/>
      <c r="D92" s="543"/>
      <c r="E92" s="298"/>
      <c r="F92" s="586"/>
      <c r="G92" s="298"/>
      <c r="H92" s="580"/>
      <c r="I92" s="298"/>
      <c r="J92" s="298"/>
      <c r="K92" s="298"/>
    </row>
    <row r="93" ht="15.75" customHeight="1">
      <c r="A93" s="298"/>
      <c r="B93" s="298"/>
      <c r="C93" s="298"/>
      <c r="D93" s="543"/>
      <c r="E93" s="298"/>
      <c r="F93" s="586"/>
      <c r="G93" s="298"/>
      <c r="H93" s="580"/>
      <c r="I93" s="298"/>
      <c r="J93" s="298"/>
      <c r="K93" s="298"/>
    </row>
    <row r="94" ht="15.75" customHeight="1">
      <c r="A94" s="298"/>
      <c r="B94" s="298"/>
      <c r="C94" s="298"/>
      <c r="D94" s="543"/>
      <c r="E94" s="298"/>
      <c r="F94" s="586"/>
      <c r="G94" s="298"/>
      <c r="H94" s="580"/>
      <c r="I94" s="298"/>
      <c r="J94" s="298"/>
      <c r="K94" s="298"/>
    </row>
    <row r="95" ht="15.75" customHeight="1">
      <c r="A95" s="298"/>
      <c r="B95" s="298"/>
      <c r="C95" s="298"/>
      <c r="D95" s="543"/>
      <c r="E95" s="298"/>
      <c r="F95" s="586"/>
      <c r="G95" s="298"/>
      <c r="H95" s="580"/>
      <c r="I95" s="298"/>
      <c r="J95" s="298"/>
      <c r="K95" s="298"/>
    </row>
    <row r="96" ht="15.75" customHeight="1">
      <c r="A96" s="298"/>
      <c r="B96" s="298"/>
      <c r="C96" s="298"/>
      <c r="D96" s="543"/>
      <c r="E96" s="298"/>
      <c r="F96" s="586"/>
      <c r="G96" s="298"/>
      <c r="H96" s="580"/>
      <c r="I96" s="298"/>
      <c r="J96" s="298"/>
      <c r="K96" s="298"/>
    </row>
    <row r="97" ht="15.75" customHeight="1">
      <c r="A97" s="298"/>
      <c r="B97" s="298"/>
      <c r="C97" s="298"/>
      <c r="D97" s="543"/>
      <c r="E97" s="298"/>
      <c r="F97" s="586"/>
      <c r="G97" s="298"/>
      <c r="H97" s="580"/>
      <c r="I97" s="298"/>
      <c r="J97" s="298"/>
      <c r="K97" s="298"/>
    </row>
    <row r="98" ht="15.75" customHeight="1">
      <c r="A98" s="298"/>
      <c r="B98" s="298"/>
      <c r="C98" s="298"/>
      <c r="D98" s="543"/>
      <c r="E98" s="298"/>
      <c r="F98" s="586"/>
      <c r="G98" s="298"/>
      <c r="H98" s="580"/>
      <c r="I98" s="298"/>
      <c r="J98" s="298"/>
      <c r="K98" s="298"/>
    </row>
    <row r="99" ht="15.75" customHeight="1">
      <c r="A99" s="298"/>
      <c r="B99" s="298"/>
      <c r="C99" s="298"/>
      <c r="D99" s="543"/>
      <c r="E99" s="298"/>
      <c r="F99" s="586"/>
      <c r="G99" s="298"/>
      <c r="H99" s="580"/>
      <c r="I99" s="298"/>
      <c r="J99" s="298"/>
      <c r="K99" s="298"/>
    </row>
    <row r="100" ht="15.75" customHeight="1">
      <c r="A100" s="298"/>
      <c r="B100" s="298"/>
      <c r="C100" s="298"/>
      <c r="D100" s="543"/>
      <c r="E100" s="298"/>
      <c r="F100" s="586"/>
      <c r="G100" s="298"/>
      <c r="H100" s="580"/>
      <c r="I100" s="298"/>
      <c r="J100" s="298"/>
      <c r="K100" s="298"/>
    </row>
    <row r="101" ht="15.75" customHeight="1">
      <c r="A101" s="298"/>
      <c r="B101" s="298"/>
      <c r="C101" s="298"/>
      <c r="D101" s="543"/>
      <c r="E101" s="298"/>
      <c r="F101" s="586"/>
      <c r="G101" s="298"/>
      <c r="H101" s="580"/>
      <c r="I101" s="298"/>
      <c r="J101" s="298"/>
      <c r="K101" s="298"/>
    </row>
    <row r="102" ht="15.75" customHeight="1">
      <c r="A102" s="298"/>
      <c r="B102" s="298"/>
      <c r="C102" s="298"/>
      <c r="D102" s="543"/>
      <c r="E102" s="298"/>
      <c r="F102" s="586"/>
      <c r="G102" s="298"/>
      <c r="H102" s="580"/>
      <c r="I102" s="298"/>
      <c r="J102" s="298"/>
      <c r="K102" s="298"/>
    </row>
    <row r="103" ht="15.75" customHeight="1">
      <c r="A103" s="298"/>
      <c r="B103" s="298"/>
      <c r="C103" s="298"/>
      <c r="D103" s="543"/>
      <c r="E103" s="298"/>
      <c r="F103" s="586"/>
      <c r="G103" s="298"/>
      <c r="H103" s="580"/>
      <c r="I103" s="298"/>
      <c r="J103" s="298"/>
      <c r="K103" s="298"/>
    </row>
    <row r="104" ht="15.75" customHeight="1">
      <c r="A104" s="298"/>
      <c r="B104" s="298"/>
      <c r="C104" s="298"/>
      <c r="D104" s="543"/>
      <c r="E104" s="298"/>
      <c r="F104" s="586"/>
      <c r="G104" s="298"/>
      <c r="H104" s="580"/>
      <c r="I104" s="298"/>
      <c r="J104" s="298"/>
      <c r="K104" s="298"/>
    </row>
    <row r="105" ht="15.75" customHeight="1">
      <c r="A105" s="298"/>
      <c r="B105" s="298"/>
      <c r="C105" s="298"/>
      <c r="D105" s="543"/>
      <c r="E105" s="298"/>
      <c r="F105" s="586"/>
      <c r="G105" s="298"/>
      <c r="H105" s="580"/>
      <c r="I105" s="298"/>
      <c r="J105" s="298"/>
      <c r="K105" s="298"/>
    </row>
    <row r="106" ht="15.75" customHeight="1">
      <c r="A106" s="298"/>
      <c r="B106" s="298"/>
      <c r="C106" s="298"/>
      <c r="D106" s="543"/>
      <c r="E106" s="298"/>
      <c r="F106" s="586"/>
      <c r="G106" s="298"/>
      <c r="H106" s="580"/>
      <c r="I106" s="298"/>
      <c r="J106" s="298"/>
      <c r="K106" s="298"/>
    </row>
    <row r="107" ht="15.75" customHeight="1">
      <c r="A107" s="298"/>
      <c r="B107" s="298"/>
      <c r="C107" s="298"/>
      <c r="D107" s="543"/>
      <c r="E107" s="298"/>
      <c r="F107" s="586"/>
      <c r="G107" s="298"/>
      <c r="H107" s="580"/>
      <c r="I107" s="298"/>
      <c r="J107" s="298"/>
      <c r="K107" s="298"/>
    </row>
    <row r="108" ht="15.75" customHeight="1">
      <c r="A108" s="298"/>
      <c r="B108" s="298"/>
      <c r="C108" s="298"/>
      <c r="D108" s="543"/>
      <c r="E108" s="298"/>
      <c r="F108" s="586"/>
      <c r="G108" s="298"/>
      <c r="H108" s="580"/>
      <c r="I108" s="298"/>
      <c r="J108" s="298"/>
      <c r="K108" s="298"/>
    </row>
    <row r="109" ht="15.75" customHeight="1">
      <c r="A109" s="298"/>
      <c r="B109" s="298"/>
      <c r="C109" s="298"/>
      <c r="D109" s="543"/>
      <c r="E109" s="298"/>
      <c r="F109" s="586"/>
      <c r="G109" s="298"/>
      <c r="H109" s="580"/>
      <c r="I109" s="298"/>
      <c r="J109" s="298"/>
      <c r="K109" s="298"/>
    </row>
    <row r="110" ht="15.75" customHeight="1">
      <c r="A110" s="298"/>
      <c r="B110" s="298"/>
      <c r="C110" s="298"/>
      <c r="D110" s="543"/>
      <c r="E110" s="298"/>
      <c r="F110" s="586"/>
      <c r="G110" s="298"/>
      <c r="H110" s="580"/>
      <c r="I110" s="298"/>
      <c r="J110" s="298"/>
      <c r="K110" s="298"/>
    </row>
    <row r="111" ht="15.75" customHeight="1">
      <c r="A111" s="298"/>
      <c r="B111" s="298"/>
      <c r="C111" s="298"/>
      <c r="D111" s="543"/>
      <c r="E111" s="298"/>
      <c r="F111" s="586"/>
      <c r="G111" s="298"/>
      <c r="H111" s="580"/>
      <c r="I111" s="298"/>
      <c r="J111" s="298"/>
      <c r="K111" s="298"/>
    </row>
    <row r="112" ht="15.75" customHeight="1">
      <c r="A112" s="298"/>
      <c r="B112" s="298"/>
      <c r="C112" s="298"/>
      <c r="D112" s="543"/>
      <c r="E112" s="298"/>
      <c r="F112" s="586"/>
      <c r="G112" s="298"/>
      <c r="H112" s="580"/>
      <c r="I112" s="298"/>
      <c r="J112" s="298"/>
      <c r="K112" s="298"/>
    </row>
    <row r="113" ht="15.75" customHeight="1">
      <c r="A113" s="298"/>
      <c r="B113" s="298"/>
      <c r="C113" s="298"/>
      <c r="D113" s="543"/>
      <c r="E113" s="298"/>
      <c r="F113" s="586"/>
      <c r="G113" s="298"/>
      <c r="H113" s="580"/>
      <c r="I113" s="298"/>
      <c r="J113" s="298"/>
      <c r="K113" s="298"/>
    </row>
    <row r="114" ht="15.75" customHeight="1">
      <c r="A114" s="298"/>
      <c r="B114" s="298"/>
      <c r="C114" s="298"/>
      <c r="D114" s="543"/>
      <c r="E114" s="298"/>
      <c r="F114" s="586"/>
      <c r="G114" s="298"/>
      <c r="H114" s="580"/>
      <c r="I114" s="298"/>
      <c r="J114" s="298"/>
      <c r="K114" s="298"/>
    </row>
    <row r="115" ht="15.75" customHeight="1">
      <c r="A115" s="298"/>
      <c r="B115" s="298"/>
      <c r="C115" s="298"/>
      <c r="D115" s="543"/>
      <c r="E115" s="298"/>
      <c r="F115" s="586"/>
      <c r="G115" s="298"/>
      <c r="H115" s="580"/>
      <c r="I115" s="298"/>
      <c r="J115" s="298"/>
      <c r="K115" s="298"/>
    </row>
    <row r="116" ht="15.75" customHeight="1">
      <c r="A116" s="298"/>
      <c r="B116" s="298"/>
      <c r="C116" s="298"/>
      <c r="D116" s="543"/>
      <c r="E116" s="298"/>
      <c r="F116" s="586"/>
      <c r="G116" s="298"/>
      <c r="H116" s="580"/>
      <c r="I116" s="298"/>
      <c r="J116" s="298"/>
      <c r="K116" s="298"/>
    </row>
    <row r="117" ht="15.75" customHeight="1">
      <c r="A117" s="298"/>
      <c r="B117" s="298"/>
      <c r="C117" s="298"/>
      <c r="D117" s="543"/>
      <c r="E117" s="298"/>
      <c r="F117" s="586"/>
      <c r="G117" s="298"/>
      <c r="H117" s="580"/>
      <c r="I117" s="298"/>
      <c r="J117" s="298"/>
      <c r="K117" s="298"/>
    </row>
    <row r="118" ht="15.75" customHeight="1">
      <c r="A118" s="298"/>
      <c r="B118" s="298"/>
      <c r="C118" s="298"/>
      <c r="D118" s="543"/>
      <c r="E118" s="298"/>
      <c r="F118" s="586"/>
      <c r="G118" s="298"/>
      <c r="H118" s="580"/>
      <c r="I118" s="298"/>
      <c r="J118" s="298"/>
      <c r="K118" s="298"/>
    </row>
    <row r="119" ht="15.75" customHeight="1">
      <c r="A119" s="298"/>
      <c r="B119" s="298"/>
      <c r="C119" s="298"/>
      <c r="D119" s="543"/>
      <c r="E119" s="298"/>
      <c r="F119" s="586"/>
      <c r="G119" s="298"/>
      <c r="H119" s="580"/>
      <c r="I119" s="298"/>
      <c r="J119" s="298"/>
      <c r="K119" s="298"/>
    </row>
    <row r="120" ht="15.75" customHeight="1">
      <c r="A120" s="298"/>
      <c r="B120" s="298"/>
      <c r="C120" s="298"/>
      <c r="D120" s="543"/>
      <c r="E120" s="298"/>
      <c r="F120" s="586"/>
      <c r="G120" s="298"/>
      <c r="H120" s="580"/>
      <c r="I120" s="298"/>
      <c r="J120" s="298"/>
      <c r="K120" s="298"/>
    </row>
    <row r="121" ht="15.75" customHeight="1">
      <c r="A121" s="298"/>
      <c r="B121" s="298"/>
      <c r="C121" s="298"/>
      <c r="D121" s="543"/>
      <c r="E121" s="298"/>
      <c r="F121" s="586"/>
      <c r="G121" s="298"/>
      <c r="H121" s="580"/>
      <c r="I121" s="298"/>
      <c r="J121" s="298"/>
      <c r="K121" s="298"/>
    </row>
    <row r="122" ht="15.75" customHeight="1">
      <c r="A122" s="298"/>
      <c r="B122" s="298"/>
      <c r="C122" s="298"/>
      <c r="D122" s="543"/>
      <c r="E122" s="298"/>
      <c r="F122" s="586"/>
      <c r="G122" s="298"/>
      <c r="H122" s="580"/>
      <c r="I122" s="298"/>
      <c r="J122" s="298"/>
      <c r="K122" s="298"/>
    </row>
    <row r="123" ht="15.75" customHeight="1">
      <c r="A123" s="298"/>
      <c r="B123" s="298"/>
      <c r="C123" s="298"/>
      <c r="D123" s="543"/>
      <c r="E123" s="298"/>
      <c r="F123" s="586"/>
      <c r="G123" s="298"/>
      <c r="H123" s="580"/>
      <c r="I123" s="298"/>
      <c r="J123" s="298"/>
      <c r="K123" s="298"/>
    </row>
    <row r="124" ht="15.75" customHeight="1">
      <c r="A124" s="298"/>
      <c r="B124" s="298"/>
      <c r="C124" s="298"/>
      <c r="D124" s="543"/>
      <c r="E124" s="298"/>
      <c r="F124" s="586"/>
      <c r="G124" s="298"/>
      <c r="H124" s="580"/>
      <c r="I124" s="298"/>
      <c r="J124" s="298"/>
      <c r="K124" s="298"/>
    </row>
    <row r="125" ht="15.75" customHeight="1">
      <c r="A125" s="298"/>
      <c r="B125" s="298"/>
      <c r="C125" s="298"/>
      <c r="D125" s="543"/>
      <c r="E125" s="298"/>
      <c r="F125" s="586"/>
      <c r="G125" s="298"/>
      <c r="H125" s="580"/>
      <c r="I125" s="298"/>
      <c r="J125" s="298"/>
      <c r="K125" s="298"/>
    </row>
    <row r="126" ht="15.75" customHeight="1">
      <c r="A126" s="298"/>
      <c r="B126" s="298"/>
      <c r="C126" s="298"/>
      <c r="D126" s="543"/>
      <c r="E126" s="298"/>
      <c r="F126" s="586"/>
      <c r="G126" s="298"/>
      <c r="H126" s="580"/>
      <c r="I126" s="298"/>
      <c r="J126" s="298"/>
      <c r="K126" s="298"/>
    </row>
    <row r="127" ht="15.75" customHeight="1">
      <c r="A127" s="298"/>
      <c r="B127" s="298"/>
      <c r="C127" s="298"/>
      <c r="D127" s="543"/>
      <c r="E127" s="298"/>
      <c r="F127" s="586"/>
      <c r="G127" s="298"/>
      <c r="H127" s="580"/>
      <c r="I127" s="298"/>
      <c r="J127" s="298"/>
      <c r="K127" s="298"/>
    </row>
    <row r="128" ht="15.75" customHeight="1">
      <c r="A128" s="298"/>
      <c r="B128" s="298"/>
      <c r="C128" s="298"/>
      <c r="D128" s="543"/>
      <c r="E128" s="298"/>
      <c r="F128" s="586"/>
      <c r="G128" s="298"/>
      <c r="H128" s="580"/>
      <c r="I128" s="298"/>
      <c r="J128" s="298"/>
      <c r="K128" s="298"/>
    </row>
    <row r="129" ht="15.75" customHeight="1">
      <c r="A129" s="298"/>
      <c r="B129" s="298"/>
      <c r="C129" s="298"/>
      <c r="D129" s="543"/>
      <c r="E129" s="298"/>
      <c r="F129" s="586"/>
      <c r="G129" s="298"/>
      <c r="H129" s="580"/>
      <c r="I129" s="298"/>
      <c r="J129" s="298"/>
      <c r="K129" s="298"/>
    </row>
    <row r="130" ht="15.75" customHeight="1">
      <c r="A130" s="298"/>
      <c r="B130" s="298"/>
      <c r="C130" s="298"/>
      <c r="D130" s="543"/>
      <c r="E130" s="298"/>
      <c r="F130" s="586"/>
      <c r="G130" s="298"/>
      <c r="H130" s="580"/>
      <c r="I130" s="298"/>
      <c r="J130" s="298"/>
      <c r="K130" s="298"/>
    </row>
    <row r="131" ht="15.75" customHeight="1">
      <c r="A131" s="298"/>
      <c r="B131" s="298"/>
      <c r="C131" s="298"/>
      <c r="D131" s="543"/>
      <c r="E131" s="298"/>
      <c r="F131" s="586"/>
      <c r="G131" s="298"/>
      <c r="H131" s="580"/>
      <c r="I131" s="298"/>
      <c r="J131" s="298"/>
      <c r="K131" s="298"/>
    </row>
    <row r="132" ht="15.75" customHeight="1">
      <c r="A132" s="298"/>
      <c r="B132" s="298"/>
      <c r="C132" s="298"/>
      <c r="D132" s="543"/>
      <c r="E132" s="298"/>
      <c r="F132" s="586"/>
      <c r="G132" s="298"/>
      <c r="H132" s="580"/>
      <c r="I132" s="298"/>
      <c r="J132" s="298"/>
      <c r="K132" s="298"/>
    </row>
    <row r="133" ht="15.75" customHeight="1">
      <c r="A133" s="298"/>
      <c r="B133" s="298"/>
      <c r="C133" s="298"/>
      <c r="D133" s="543"/>
      <c r="E133" s="298"/>
      <c r="F133" s="586"/>
      <c r="G133" s="298"/>
      <c r="H133" s="580"/>
      <c r="I133" s="298"/>
      <c r="J133" s="298"/>
      <c r="K133" s="298"/>
    </row>
    <row r="134" ht="15.75" customHeight="1">
      <c r="A134" s="298"/>
      <c r="B134" s="298"/>
      <c r="C134" s="298"/>
      <c r="D134" s="543"/>
      <c r="E134" s="298"/>
      <c r="F134" s="586"/>
      <c r="G134" s="298"/>
      <c r="H134" s="580"/>
      <c r="I134" s="298"/>
      <c r="J134" s="298"/>
      <c r="K134" s="298"/>
    </row>
    <row r="135" ht="15.75" customHeight="1">
      <c r="A135" s="298"/>
      <c r="B135" s="298"/>
      <c r="C135" s="298"/>
      <c r="D135" s="543"/>
      <c r="E135" s="298"/>
      <c r="F135" s="586"/>
      <c r="G135" s="298"/>
      <c r="H135" s="580"/>
      <c r="I135" s="298"/>
      <c r="J135" s="298"/>
      <c r="K135" s="298"/>
    </row>
    <row r="136" ht="15.75" customHeight="1">
      <c r="A136" s="298"/>
      <c r="B136" s="298"/>
      <c r="C136" s="298"/>
      <c r="D136" s="543"/>
      <c r="E136" s="298"/>
      <c r="F136" s="586"/>
      <c r="G136" s="298"/>
      <c r="H136" s="580"/>
      <c r="I136" s="298"/>
      <c r="J136" s="298"/>
      <c r="K136" s="298"/>
    </row>
    <row r="137" ht="15.75" customHeight="1">
      <c r="A137" s="298"/>
      <c r="B137" s="298"/>
      <c r="C137" s="298"/>
      <c r="D137" s="543"/>
      <c r="E137" s="298"/>
      <c r="F137" s="586"/>
      <c r="G137" s="298"/>
      <c r="H137" s="580"/>
      <c r="I137" s="298"/>
      <c r="J137" s="298"/>
      <c r="K137" s="298"/>
    </row>
    <row r="138" ht="15.75" customHeight="1">
      <c r="A138" s="298"/>
      <c r="B138" s="298"/>
      <c r="C138" s="298"/>
      <c r="D138" s="543"/>
      <c r="E138" s="298"/>
      <c r="F138" s="586"/>
      <c r="G138" s="298"/>
      <c r="H138" s="580"/>
      <c r="I138" s="298"/>
      <c r="J138" s="298"/>
      <c r="K138" s="298"/>
    </row>
    <row r="139" ht="15.75" customHeight="1">
      <c r="A139" s="298"/>
      <c r="B139" s="298"/>
      <c r="C139" s="298"/>
      <c r="D139" s="543"/>
      <c r="E139" s="298"/>
      <c r="F139" s="586"/>
      <c r="G139" s="298"/>
      <c r="H139" s="580"/>
      <c r="I139" s="298"/>
      <c r="J139" s="298"/>
      <c r="K139" s="298"/>
    </row>
    <row r="140" ht="15.75" customHeight="1">
      <c r="A140" s="298"/>
      <c r="B140" s="298"/>
      <c r="C140" s="298"/>
      <c r="D140" s="543"/>
      <c r="E140" s="298"/>
      <c r="F140" s="586"/>
      <c r="G140" s="298"/>
      <c r="H140" s="580"/>
      <c r="I140" s="298"/>
      <c r="J140" s="298"/>
      <c r="K140" s="298"/>
    </row>
    <row r="141" ht="15.75" customHeight="1">
      <c r="A141" s="298"/>
      <c r="B141" s="298"/>
      <c r="C141" s="298"/>
      <c r="D141" s="543"/>
      <c r="E141" s="298"/>
      <c r="F141" s="586"/>
      <c r="G141" s="298"/>
      <c r="H141" s="580"/>
      <c r="I141" s="298"/>
      <c r="J141" s="298"/>
      <c r="K141" s="298"/>
    </row>
    <row r="142" ht="15.75" customHeight="1">
      <c r="A142" s="298"/>
      <c r="B142" s="298"/>
      <c r="C142" s="298"/>
      <c r="D142" s="543"/>
      <c r="E142" s="298"/>
      <c r="F142" s="586"/>
      <c r="G142" s="298"/>
      <c r="H142" s="580"/>
      <c r="I142" s="298"/>
      <c r="J142" s="298"/>
      <c r="K142" s="298"/>
    </row>
    <row r="143" ht="15.75" customHeight="1">
      <c r="A143" s="298"/>
      <c r="B143" s="298"/>
      <c r="C143" s="298"/>
      <c r="D143" s="543"/>
      <c r="E143" s="298"/>
      <c r="F143" s="586"/>
      <c r="G143" s="298"/>
      <c r="H143" s="580"/>
      <c r="I143" s="298"/>
      <c r="J143" s="298"/>
      <c r="K143" s="298"/>
    </row>
    <row r="144" ht="15.75" customHeight="1">
      <c r="A144" s="298"/>
      <c r="B144" s="298"/>
      <c r="C144" s="298"/>
      <c r="D144" s="543"/>
      <c r="E144" s="298"/>
      <c r="F144" s="586"/>
      <c r="G144" s="298"/>
      <c r="H144" s="580"/>
      <c r="I144" s="298"/>
      <c r="J144" s="298"/>
      <c r="K144" s="298"/>
    </row>
    <row r="145" ht="15.75" customHeight="1">
      <c r="A145" s="298"/>
      <c r="B145" s="298"/>
      <c r="C145" s="298"/>
      <c r="D145" s="543"/>
      <c r="E145" s="298"/>
      <c r="F145" s="586"/>
      <c r="G145" s="298"/>
      <c r="H145" s="580"/>
      <c r="I145" s="298"/>
      <c r="J145" s="298"/>
      <c r="K145" s="298"/>
    </row>
    <row r="146" ht="15.75" customHeight="1">
      <c r="A146" s="298"/>
      <c r="B146" s="298"/>
      <c r="C146" s="298"/>
      <c r="D146" s="543"/>
      <c r="E146" s="298"/>
      <c r="F146" s="586"/>
      <c r="G146" s="298"/>
      <c r="H146" s="580"/>
      <c r="I146" s="298"/>
      <c r="J146" s="298"/>
      <c r="K146" s="298"/>
    </row>
    <row r="147" ht="15.75" customHeight="1">
      <c r="A147" s="298"/>
      <c r="B147" s="298"/>
      <c r="C147" s="298"/>
      <c r="D147" s="543"/>
      <c r="E147" s="298"/>
      <c r="F147" s="586"/>
      <c r="G147" s="298"/>
      <c r="H147" s="580"/>
      <c r="I147" s="298"/>
      <c r="J147" s="298"/>
      <c r="K147" s="298"/>
    </row>
    <row r="148" ht="15.75" customHeight="1">
      <c r="A148" s="298"/>
      <c r="B148" s="298"/>
      <c r="C148" s="298"/>
      <c r="D148" s="543"/>
      <c r="E148" s="298"/>
      <c r="F148" s="586"/>
      <c r="G148" s="298"/>
      <c r="H148" s="580"/>
      <c r="I148" s="298"/>
      <c r="J148" s="298"/>
      <c r="K148" s="298"/>
    </row>
    <row r="149" ht="15.75" customHeight="1">
      <c r="A149" s="298"/>
      <c r="B149" s="298"/>
      <c r="C149" s="298"/>
      <c r="D149" s="543"/>
      <c r="E149" s="298"/>
      <c r="F149" s="586"/>
      <c r="G149" s="298"/>
      <c r="H149" s="580"/>
      <c r="I149" s="298"/>
      <c r="J149" s="298"/>
      <c r="K149" s="298"/>
    </row>
    <row r="150" ht="15.75" customHeight="1">
      <c r="A150" s="298"/>
      <c r="B150" s="298"/>
      <c r="C150" s="298"/>
      <c r="D150" s="543"/>
      <c r="E150" s="298"/>
      <c r="F150" s="586"/>
      <c r="G150" s="298"/>
      <c r="H150" s="580"/>
      <c r="I150" s="298"/>
      <c r="J150" s="298"/>
      <c r="K150" s="298"/>
    </row>
    <row r="151" ht="15.75" customHeight="1">
      <c r="A151" s="298"/>
      <c r="B151" s="298"/>
      <c r="C151" s="298"/>
      <c r="D151" s="543"/>
      <c r="E151" s="298"/>
      <c r="F151" s="586"/>
      <c r="G151" s="298"/>
      <c r="H151" s="580"/>
      <c r="I151" s="298"/>
      <c r="J151" s="298"/>
      <c r="K151" s="298"/>
    </row>
    <row r="152" ht="15.75" customHeight="1">
      <c r="A152" s="298"/>
      <c r="B152" s="298"/>
      <c r="C152" s="298"/>
      <c r="D152" s="543"/>
      <c r="E152" s="298"/>
      <c r="F152" s="586"/>
      <c r="G152" s="298"/>
      <c r="H152" s="580"/>
      <c r="I152" s="298"/>
      <c r="J152" s="298"/>
      <c r="K152" s="298"/>
    </row>
    <row r="153" ht="15.75" customHeight="1">
      <c r="A153" s="298"/>
      <c r="B153" s="298"/>
      <c r="C153" s="298"/>
      <c r="D153" s="543"/>
      <c r="E153" s="298"/>
      <c r="F153" s="586"/>
      <c r="G153" s="298"/>
      <c r="H153" s="580"/>
      <c r="I153" s="298"/>
      <c r="J153" s="298"/>
      <c r="K153" s="298"/>
    </row>
    <row r="154" ht="15.75" customHeight="1">
      <c r="A154" s="298"/>
      <c r="B154" s="298"/>
      <c r="C154" s="298"/>
      <c r="D154" s="543"/>
      <c r="E154" s="298"/>
      <c r="F154" s="586"/>
      <c r="G154" s="298"/>
      <c r="H154" s="580"/>
      <c r="I154" s="298"/>
      <c r="J154" s="298"/>
      <c r="K154" s="298"/>
    </row>
    <row r="155" ht="15.75" customHeight="1">
      <c r="A155" s="298"/>
      <c r="B155" s="298"/>
      <c r="C155" s="298"/>
      <c r="D155" s="543"/>
      <c r="E155" s="298"/>
      <c r="F155" s="586"/>
      <c r="G155" s="298"/>
      <c r="H155" s="580"/>
      <c r="I155" s="298"/>
      <c r="J155" s="298"/>
      <c r="K155" s="298"/>
    </row>
    <row r="156" ht="15.75" customHeight="1">
      <c r="A156" s="298"/>
      <c r="B156" s="298"/>
      <c r="C156" s="298"/>
      <c r="D156" s="543"/>
      <c r="E156" s="298"/>
      <c r="F156" s="586"/>
      <c r="G156" s="298"/>
      <c r="H156" s="580"/>
      <c r="I156" s="298"/>
      <c r="J156" s="298"/>
      <c r="K156" s="298"/>
    </row>
    <row r="157" ht="15.75" customHeight="1">
      <c r="A157" s="298"/>
      <c r="B157" s="298"/>
      <c r="C157" s="298"/>
      <c r="D157" s="543"/>
      <c r="E157" s="298"/>
      <c r="F157" s="586"/>
      <c r="G157" s="298"/>
      <c r="H157" s="580"/>
      <c r="I157" s="298"/>
      <c r="J157" s="298"/>
      <c r="K157" s="298"/>
    </row>
    <row r="158" ht="15.75" customHeight="1">
      <c r="A158" s="298"/>
      <c r="B158" s="298"/>
      <c r="C158" s="298"/>
      <c r="D158" s="543"/>
      <c r="E158" s="298"/>
      <c r="F158" s="586"/>
      <c r="G158" s="298"/>
      <c r="H158" s="580"/>
      <c r="I158" s="298"/>
      <c r="J158" s="298"/>
      <c r="K158" s="298"/>
    </row>
    <row r="159" ht="15.75" customHeight="1">
      <c r="A159" s="298"/>
      <c r="B159" s="298"/>
      <c r="C159" s="298"/>
      <c r="D159" s="543"/>
      <c r="E159" s="298"/>
      <c r="F159" s="586"/>
      <c r="G159" s="298"/>
      <c r="H159" s="580"/>
      <c r="I159" s="298"/>
      <c r="J159" s="298"/>
      <c r="K159" s="298"/>
    </row>
    <row r="160" ht="15.75" customHeight="1">
      <c r="A160" s="298"/>
      <c r="B160" s="298"/>
      <c r="C160" s="298"/>
      <c r="D160" s="543"/>
      <c r="E160" s="298"/>
      <c r="F160" s="586"/>
      <c r="G160" s="298"/>
      <c r="H160" s="580"/>
      <c r="I160" s="298"/>
      <c r="J160" s="298"/>
      <c r="K160" s="298"/>
    </row>
    <row r="161" ht="15.75" customHeight="1">
      <c r="A161" s="298"/>
      <c r="B161" s="298"/>
      <c r="C161" s="298"/>
      <c r="D161" s="543"/>
      <c r="E161" s="298"/>
      <c r="F161" s="586"/>
      <c r="G161" s="298"/>
      <c r="H161" s="580"/>
      <c r="I161" s="298"/>
      <c r="J161" s="298"/>
      <c r="K161" s="298"/>
    </row>
    <row r="162" ht="15.75" customHeight="1">
      <c r="A162" s="298"/>
      <c r="B162" s="298"/>
      <c r="C162" s="298"/>
      <c r="D162" s="543"/>
      <c r="E162" s="298"/>
      <c r="F162" s="586"/>
      <c r="G162" s="298"/>
      <c r="H162" s="580"/>
      <c r="I162" s="298"/>
      <c r="J162" s="298"/>
      <c r="K162" s="298"/>
    </row>
    <row r="163" ht="15.75" customHeight="1">
      <c r="A163" s="298"/>
      <c r="B163" s="298"/>
      <c r="C163" s="298"/>
      <c r="D163" s="543"/>
      <c r="E163" s="298"/>
      <c r="F163" s="586"/>
      <c r="G163" s="298"/>
      <c r="H163" s="580"/>
      <c r="I163" s="298"/>
      <c r="J163" s="298"/>
      <c r="K163" s="298"/>
    </row>
    <row r="164" ht="15.75" customHeight="1">
      <c r="A164" s="298"/>
      <c r="B164" s="298"/>
      <c r="C164" s="298"/>
      <c r="D164" s="543"/>
      <c r="E164" s="298"/>
      <c r="F164" s="586"/>
      <c r="G164" s="298"/>
      <c r="H164" s="580"/>
      <c r="I164" s="298"/>
      <c r="J164" s="298"/>
      <c r="K164" s="298"/>
    </row>
    <row r="165" ht="15.75" customHeight="1">
      <c r="A165" s="298"/>
      <c r="B165" s="298"/>
      <c r="C165" s="298"/>
      <c r="D165" s="543"/>
      <c r="E165" s="298"/>
      <c r="F165" s="586"/>
      <c r="G165" s="298"/>
      <c r="H165" s="580"/>
      <c r="I165" s="298"/>
      <c r="J165" s="298"/>
      <c r="K165" s="298"/>
    </row>
    <row r="166" ht="15.75" customHeight="1">
      <c r="A166" s="298"/>
      <c r="B166" s="298"/>
      <c r="C166" s="298"/>
      <c r="D166" s="543"/>
      <c r="E166" s="298"/>
      <c r="F166" s="586"/>
      <c r="G166" s="298"/>
      <c r="H166" s="580"/>
      <c r="I166" s="298"/>
      <c r="J166" s="298"/>
      <c r="K166" s="298"/>
    </row>
    <row r="167" ht="15.75" customHeight="1">
      <c r="A167" s="298"/>
      <c r="B167" s="298"/>
      <c r="C167" s="298"/>
      <c r="D167" s="543"/>
      <c r="E167" s="298"/>
      <c r="F167" s="586"/>
      <c r="G167" s="298"/>
      <c r="H167" s="580"/>
      <c r="I167" s="298"/>
      <c r="J167" s="298"/>
      <c r="K167" s="298"/>
    </row>
    <row r="168" ht="15.75" customHeight="1">
      <c r="A168" s="298"/>
      <c r="B168" s="298"/>
      <c r="C168" s="298"/>
      <c r="D168" s="543"/>
      <c r="E168" s="298"/>
      <c r="F168" s="586"/>
      <c r="G168" s="298"/>
      <c r="H168" s="580"/>
      <c r="I168" s="298"/>
      <c r="J168" s="298"/>
      <c r="K168" s="298"/>
    </row>
    <row r="169" ht="15.75" customHeight="1">
      <c r="A169" s="298"/>
      <c r="B169" s="298"/>
      <c r="C169" s="298"/>
      <c r="D169" s="543"/>
      <c r="E169" s="298"/>
      <c r="F169" s="586"/>
      <c r="G169" s="298"/>
      <c r="H169" s="580"/>
      <c r="I169" s="298"/>
      <c r="J169" s="298"/>
      <c r="K169" s="298"/>
    </row>
    <row r="170" ht="15.75" customHeight="1">
      <c r="A170" s="298"/>
      <c r="B170" s="298"/>
      <c r="C170" s="298"/>
      <c r="D170" s="543"/>
      <c r="E170" s="298"/>
      <c r="F170" s="586"/>
      <c r="G170" s="298"/>
      <c r="H170" s="580"/>
      <c r="I170" s="298"/>
      <c r="J170" s="298"/>
      <c r="K170" s="298"/>
    </row>
    <row r="171" ht="15.75" customHeight="1">
      <c r="A171" s="298"/>
      <c r="B171" s="298"/>
      <c r="C171" s="298"/>
      <c r="D171" s="543"/>
      <c r="E171" s="298"/>
      <c r="F171" s="586"/>
      <c r="G171" s="298"/>
      <c r="H171" s="580"/>
      <c r="I171" s="298"/>
      <c r="J171" s="298"/>
      <c r="K171" s="298"/>
    </row>
    <row r="172" ht="15.75" customHeight="1">
      <c r="A172" s="298"/>
      <c r="B172" s="298"/>
      <c r="C172" s="298"/>
      <c r="D172" s="543"/>
      <c r="E172" s="298"/>
      <c r="F172" s="586"/>
      <c r="G172" s="298"/>
      <c r="H172" s="580"/>
      <c r="I172" s="298"/>
      <c r="J172" s="298"/>
      <c r="K172" s="298"/>
    </row>
    <row r="173" ht="15.75" customHeight="1">
      <c r="A173" s="298"/>
      <c r="B173" s="298"/>
      <c r="C173" s="298"/>
      <c r="D173" s="543"/>
      <c r="E173" s="298"/>
      <c r="F173" s="586"/>
      <c r="G173" s="298"/>
      <c r="H173" s="580"/>
      <c r="I173" s="298"/>
      <c r="J173" s="298"/>
      <c r="K173" s="298"/>
    </row>
    <row r="174" ht="15.75" customHeight="1">
      <c r="A174" s="298"/>
      <c r="B174" s="298"/>
      <c r="C174" s="298"/>
      <c r="D174" s="543"/>
      <c r="E174" s="298"/>
      <c r="F174" s="586"/>
      <c r="G174" s="298"/>
      <c r="H174" s="580"/>
      <c r="I174" s="298"/>
      <c r="J174" s="298"/>
      <c r="K174" s="298"/>
    </row>
    <row r="175" ht="15.75" customHeight="1">
      <c r="A175" s="298"/>
      <c r="B175" s="298"/>
      <c r="C175" s="298"/>
      <c r="D175" s="543"/>
      <c r="E175" s="298"/>
      <c r="F175" s="586"/>
      <c r="G175" s="298"/>
      <c r="H175" s="580"/>
      <c r="I175" s="298"/>
      <c r="J175" s="298"/>
      <c r="K175" s="298"/>
    </row>
    <row r="176" ht="15.75" customHeight="1">
      <c r="A176" s="298"/>
      <c r="B176" s="298"/>
      <c r="C176" s="298"/>
      <c r="D176" s="543"/>
      <c r="E176" s="298"/>
      <c r="F176" s="586"/>
      <c r="G176" s="298"/>
      <c r="H176" s="580"/>
      <c r="I176" s="298"/>
      <c r="J176" s="298"/>
      <c r="K176" s="298"/>
    </row>
    <row r="177" ht="15.75" customHeight="1">
      <c r="A177" s="298"/>
      <c r="B177" s="298"/>
      <c r="C177" s="298"/>
      <c r="D177" s="543"/>
      <c r="E177" s="298"/>
      <c r="F177" s="586"/>
      <c r="G177" s="298"/>
      <c r="H177" s="580"/>
      <c r="I177" s="298"/>
      <c r="J177" s="298"/>
      <c r="K177" s="298"/>
    </row>
    <row r="178" ht="15.75" customHeight="1">
      <c r="A178" s="298"/>
      <c r="B178" s="298"/>
      <c r="C178" s="298"/>
      <c r="D178" s="543"/>
      <c r="E178" s="298"/>
      <c r="F178" s="586"/>
      <c r="G178" s="298"/>
      <c r="H178" s="580"/>
      <c r="I178" s="298"/>
      <c r="J178" s="298"/>
      <c r="K178" s="298"/>
    </row>
    <row r="179" ht="15.75" customHeight="1">
      <c r="A179" s="298"/>
      <c r="B179" s="298"/>
      <c r="C179" s="298"/>
      <c r="D179" s="543"/>
      <c r="E179" s="298"/>
      <c r="F179" s="586"/>
      <c r="G179" s="298"/>
      <c r="H179" s="580"/>
      <c r="I179" s="298"/>
      <c r="J179" s="298"/>
      <c r="K179" s="298"/>
    </row>
    <row r="180" ht="15.75" customHeight="1">
      <c r="A180" s="298"/>
      <c r="B180" s="298"/>
      <c r="C180" s="298"/>
      <c r="D180" s="543"/>
      <c r="E180" s="298"/>
      <c r="F180" s="586"/>
      <c r="G180" s="298"/>
      <c r="H180" s="580"/>
      <c r="I180" s="298"/>
      <c r="J180" s="298"/>
      <c r="K180" s="298"/>
    </row>
    <row r="181" ht="15.75" customHeight="1">
      <c r="A181" s="298"/>
      <c r="B181" s="298"/>
      <c r="C181" s="298"/>
      <c r="D181" s="543"/>
      <c r="E181" s="298"/>
      <c r="F181" s="586"/>
      <c r="G181" s="298"/>
      <c r="H181" s="580"/>
      <c r="I181" s="298"/>
      <c r="J181" s="298"/>
      <c r="K181" s="298"/>
    </row>
    <row r="182" ht="15.75" customHeight="1">
      <c r="A182" s="298"/>
      <c r="B182" s="298"/>
      <c r="C182" s="298"/>
      <c r="D182" s="543"/>
      <c r="E182" s="298"/>
      <c r="F182" s="586"/>
      <c r="G182" s="298"/>
      <c r="H182" s="580"/>
      <c r="I182" s="298"/>
      <c r="J182" s="298"/>
      <c r="K182" s="298"/>
    </row>
    <row r="183" ht="15.75" customHeight="1">
      <c r="A183" s="298"/>
      <c r="B183" s="298"/>
      <c r="C183" s="298"/>
      <c r="D183" s="543"/>
      <c r="E183" s="298"/>
      <c r="F183" s="586"/>
      <c r="G183" s="298"/>
      <c r="H183" s="580"/>
      <c r="I183" s="298"/>
      <c r="J183" s="298"/>
      <c r="K183" s="298"/>
    </row>
    <row r="184" ht="15.75" customHeight="1">
      <c r="A184" s="298"/>
      <c r="B184" s="298"/>
      <c r="C184" s="298"/>
      <c r="D184" s="543"/>
      <c r="E184" s="298"/>
      <c r="F184" s="586"/>
      <c r="G184" s="298"/>
      <c r="H184" s="580"/>
      <c r="I184" s="298"/>
      <c r="J184" s="298"/>
      <c r="K184" s="298"/>
    </row>
    <row r="185" ht="15.75" customHeight="1">
      <c r="A185" s="298"/>
      <c r="B185" s="298"/>
      <c r="C185" s="298"/>
      <c r="D185" s="543"/>
      <c r="E185" s="298"/>
      <c r="F185" s="586"/>
      <c r="G185" s="298"/>
      <c r="H185" s="580"/>
      <c r="I185" s="298"/>
      <c r="J185" s="298"/>
      <c r="K185" s="298"/>
    </row>
    <row r="186" ht="15.75" customHeight="1">
      <c r="A186" s="298"/>
      <c r="B186" s="298"/>
      <c r="C186" s="298"/>
      <c r="D186" s="543"/>
      <c r="E186" s="298"/>
      <c r="F186" s="586"/>
      <c r="G186" s="298"/>
      <c r="H186" s="580"/>
      <c r="I186" s="298"/>
      <c r="J186" s="298"/>
      <c r="K186" s="298"/>
    </row>
    <row r="187" ht="15.75" customHeight="1">
      <c r="A187" s="298"/>
      <c r="B187" s="298"/>
      <c r="C187" s="298"/>
      <c r="D187" s="543"/>
      <c r="E187" s="298"/>
      <c r="F187" s="586"/>
      <c r="G187" s="298"/>
      <c r="H187" s="580"/>
      <c r="I187" s="298"/>
      <c r="J187" s="298"/>
      <c r="K187" s="298"/>
    </row>
    <row r="188" ht="15.75" customHeight="1">
      <c r="A188" s="298"/>
      <c r="B188" s="298"/>
      <c r="C188" s="298"/>
      <c r="D188" s="543"/>
      <c r="E188" s="298"/>
      <c r="F188" s="586"/>
      <c r="G188" s="298"/>
      <c r="H188" s="580"/>
      <c r="I188" s="298"/>
      <c r="J188" s="298"/>
      <c r="K188" s="298"/>
    </row>
    <row r="189" ht="15.75" customHeight="1">
      <c r="A189" s="298"/>
      <c r="B189" s="298"/>
      <c r="C189" s="298"/>
      <c r="D189" s="543"/>
      <c r="E189" s="298"/>
      <c r="F189" s="586"/>
      <c r="G189" s="298"/>
      <c r="H189" s="580"/>
      <c r="I189" s="298"/>
      <c r="J189" s="298"/>
      <c r="K189" s="298"/>
    </row>
    <row r="190" ht="15.75" customHeight="1">
      <c r="A190" s="298"/>
      <c r="B190" s="298"/>
      <c r="C190" s="298"/>
      <c r="D190" s="543"/>
      <c r="E190" s="298"/>
      <c r="F190" s="586"/>
      <c r="G190" s="298"/>
      <c r="H190" s="580"/>
      <c r="I190" s="298"/>
      <c r="J190" s="298"/>
      <c r="K190" s="298"/>
    </row>
    <row r="191" ht="15.75" customHeight="1">
      <c r="A191" s="298"/>
      <c r="B191" s="298"/>
      <c r="C191" s="298"/>
      <c r="D191" s="543"/>
      <c r="E191" s="298"/>
      <c r="F191" s="586"/>
      <c r="G191" s="298"/>
      <c r="H191" s="580"/>
      <c r="I191" s="298"/>
      <c r="J191" s="298"/>
      <c r="K191" s="298"/>
    </row>
    <row r="192" ht="15.75" customHeight="1">
      <c r="A192" s="298"/>
      <c r="B192" s="298"/>
      <c r="C192" s="298"/>
      <c r="D192" s="543"/>
      <c r="E192" s="298"/>
      <c r="F192" s="586"/>
      <c r="G192" s="298"/>
      <c r="H192" s="580"/>
      <c r="I192" s="298"/>
      <c r="J192" s="298"/>
      <c r="K192" s="298"/>
    </row>
    <row r="193" ht="15.75" customHeight="1">
      <c r="A193" s="298"/>
      <c r="B193" s="298"/>
      <c r="C193" s="298"/>
      <c r="D193" s="543"/>
      <c r="E193" s="298"/>
      <c r="F193" s="586"/>
      <c r="G193" s="298"/>
      <c r="H193" s="580"/>
      <c r="I193" s="298"/>
      <c r="J193" s="298"/>
      <c r="K193" s="298"/>
    </row>
    <row r="194" ht="15.75" customHeight="1">
      <c r="A194" s="298"/>
      <c r="B194" s="298"/>
      <c r="C194" s="298"/>
      <c r="D194" s="543"/>
      <c r="E194" s="298"/>
      <c r="F194" s="586"/>
      <c r="G194" s="298"/>
      <c r="H194" s="580"/>
      <c r="I194" s="298"/>
      <c r="J194" s="298"/>
      <c r="K194" s="298"/>
    </row>
    <row r="195" ht="15.75" customHeight="1">
      <c r="A195" s="298"/>
      <c r="B195" s="298"/>
      <c r="C195" s="298"/>
      <c r="D195" s="543"/>
      <c r="E195" s="298"/>
      <c r="F195" s="586"/>
      <c r="G195" s="298"/>
      <c r="H195" s="580"/>
      <c r="I195" s="298"/>
      <c r="J195" s="298"/>
      <c r="K195" s="298"/>
    </row>
    <row r="196" ht="15.75" customHeight="1">
      <c r="A196" s="298"/>
      <c r="B196" s="298"/>
      <c r="C196" s="298"/>
      <c r="D196" s="543"/>
      <c r="E196" s="298"/>
      <c r="F196" s="586"/>
      <c r="G196" s="298"/>
      <c r="H196" s="580"/>
      <c r="I196" s="298"/>
      <c r="J196" s="298"/>
      <c r="K196" s="298"/>
    </row>
    <row r="197" ht="15.75" customHeight="1">
      <c r="A197" s="298"/>
      <c r="B197" s="298"/>
      <c r="C197" s="298"/>
      <c r="D197" s="543"/>
      <c r="E197" s="298"/>
      <c r="F197" s="586"/>
      <c r="G197" s="298"/>
      <c r="H197" s="580"/>
      <c r="I197" s="298"/>
      <c r="J197" s="298"/>
      <c r="K197" s="298"/>
    </row>
    <row r="198" ht="15.75" customHeight="1">
      <c r="A198" s="298"/>
      <c r="B198" s="298"/>
      <c r="C198" s="298"/>
      <c r="D198" s="543"/>
      <c r="E198" s="298"/>
      <c r="F198" s="586"/>
      <c r="G198" s="298"/>
      <c r="H198" s="580"/>
      <c r="I198" s="298"/>
      <c r="J198" s="298"/>
      <c r="K198" s="298"/>
    </row>
    <row r="199" ht="15.75" customHeight="1">
      <c r="A199" s="298"/>
      <c r="B199" s="298"/>
      <c r="C199" s="298"/>
      <c r="D199" s="543"/>
      <c r="E199" s="298"/>
      <c r="F199" s="586"/>
      <c r="G199" s="298"/>
      <c r="H199" s="580"/>
      <c r="I199" s="298"/>
      <c r="J199" s="298"/>
      <c r="K199" s="298"/>
    </row>
    <row r="200" ht="15.75" customHeight="1">
      <c r="A200" s="298"/>
      <c r="B200" s="298"/>
      <c r="C200" s="298"/>
      <c r="D200" s="543"/>
      <c r="E200" s="298"/>
      <c r="F200" s="586"/>
      <c r="G200" s="298"/>
      <c r="H200" s="580"/>
      <c r="I200" s="298"/>
      <c r="J200" s="298"/>
      <c r="K200" s="298"/>
    </row>
    <row r="201" ht="15.75" customHeight="1">
      <c r="A201" s="298"/>
      <c r="B201" s="298"/>
      <c r="C201" s="298"/>
      <c r="D201" s="543"/>
      <c r="E201" s="298"/>
      <c r="F201" s="586"/>
      <c r="G201" s="298"/>
      <c r="H201" s="580"/>
      <c r="I201" s="298"/>
      <c r="J201" s="298"/>
      <c r="K201" s="298"/>
    </row>
    <row r="202" ht="15.75" customHeight="1">
      <c r="A202" s="298"/>
      <c r="B202" s="298"/>
      <c r="C202" s="298"/>
      <c r="D202" s="543"/>
      <c r="E202" s="298"/>
      <c r="F202" s="586"/>
      <c r="G202" s="298"/>
      <c r="H202" s="580"/>
      <c r="I202" s="298"/>
      <c r="J202" s="298"/>
      <c r="K202" s="298"/>
    </row>
    <row r="203" ht="15.75" customHeight="1">
      <c r="A203" s="298"/>
      <c r="B203" s="298"/>
      <c r="C203" s="298"/>
      <c r="D203" s="543"/>
      <c r="E203" s="298"/>
      <c r="F203" s="586"/>
      <c r="G203" s="298"/>
      <c r="H203" s="580"/>
      <c r="I203" s="298"/>
      <c r="J203" s="298"/>
      <c r="K203" s="298"/>
    </row>
    <row r="204" ht="15.75" customHeight="1">
      <c r="A204" s="298"/>
      <c r="B204" s="298"/>
      <c r="C204" s="298"/>
      <c r="D204" s="543"/>
      <c r="E204" s="298"/>
      <c r="F204" s="586"/>
      <c r="G204" s="298"/>
      <c r="H204" s="580"/>
      <c r="I204" s="298"/>
      <c r="J204" s="298"/>
      <c r="K204" s="298"/>
    </row>
    <row r="205" ht="15.75" customHeight="1">
      <c r="A205" s="298"/>
      <c r="B205" s="298"/>
      <c r="C205" s="298"/>
      <c r="D205" s="543"/>
      <c r="E205" s="298"/>
      <c r="F205" s="586"/>
      <c r="G205" s="298"/>
      <c r="H205" s="580"/>
      <c r="I205" s="298"/>
      <c r="J205" s="298"/>
      <c r="K205" s="298"/>
    </row>
    <row r="206" ht="15.75" customHeight="1">
      <c r="A206" s="298"/>
      <c r="B206" s="298"/>
      <c r="C206" s="298"/>
      <c r="D206" s="543"/>
      <c r="E206" s="298"/>
      <c r="F206" s="586"/>
      <c r="G206" s="298"/>
      <c r="H206" s="580"/>
      <c r="I206" s="298"/>
      <c r="J206" s="298"/>
      <c r="K206" s="298"/>
    </row>
    <row r="207" ht="15.75" customHeight="1">
      <c r="A207" s="298"/>
      <c r="B207" s="298"/>
      <c r="C207" s="298"/>
      <c r="D207" s="543"/>
      <c r="E207" s="298"/>
      <c r="F207" s="586"/>
      <c r="G207" s="298"/>
      <c r="H207" s="580"/>
      <c r="I207" s="298"/>
      <c r="J207" s="298"/>
      <c r="K207" s="298"/>
    </row>
    <row r="208" ht="15.75" customHeight="1">
      <c r="A208" s="298"/>
      <c r="B208" s="298"/>
      <c r="C208" s="298"/>
      <c r="D208" s="543"/>
      <c r="E208" s="298"/>
      <c r="F208" s="586"/>
      <c r="G208" s="298"/>
      <c r="H208" s="580"/>
      <c r="I208" s="298"/>
      <c r="J208" s="298"/>
      <c r="K208" s="298"/>
    </row>
    <row r="209" ht="15.75" customHeight="1">
      <c r="A209" s="298"/>
      <c r="B209" s="298"/>
      <c r="C209" s="298"/>
      <c r="D209" s="543"/>
      <c r="E209" s="298"/>
      <c r="F209" s="586"/>
      <c r="G209" s="298"/>
      <c r="H209" s="580"/>
      <c r="I209" s="298"/>
      <c r="J209" s="298"/>
      <c r="K209" s="298"/>
    </row>
    <row r="210" ht="15.75" customHeight="1">
      <c r="A210" s="298"/>
      <c r="B210" s="298"/>
      <c r="C210" s="298"/>
      <c r="D210" s="543"/>
      <c r="E210" s="298"/>
      <c r="F210" s="586"/>
      <c r="G210" s="298"/>
      <c r="H210" s="580"/>
      <c r="I210" s="298"/>
      <c r="J210" s="298"/>
      <c r="K210" s="298"/>
    </row>
    <row r="211" ht="15.75" customHeight="1">
      <c r="A211" s="298"/>
      <c r="B211" s="298"/>
      <c r="C211" s="298"/>
      <c r="D211" s="543"/>
      <c r="E211" s="298"/>
      <c r="F211" s="586"/>
      <c r="G211" s="298"/>
      <c r="H211" s="580"/>
      <c r="I211" s="298"/>
      <c r="J211" s="298"/>
      <c r="K211" s="298"/>
    </row>
    <row r="212" ht="15.75" customHeight="1">
      <c r="A212" s="298"/>
      <c r="B212" s="298"/>
      <c r="C212" s="298"/>
      <c r="D212" s="543"/>
      <c r="E212" s="298"/>
      <c r="F212" s="586"/>
      <c r="G212" s="298"/>
      <c r="H212" s="580"/>
      <c r="I212" s="298"/>
      <c r="J212" s="298"/>
      <c r="K212" s="298"/>
    </row>
    <row r="213" ht="15.75" customHeight="1">
      <c r="A213" s="298"/>
      <c r="B213" s="298"/>
      <c r="C213" s="298"/>
      <c r="D213" s="543"/>
      <c r="E213" s="298"/>
      <c r="F213" s="586"/>
      <c r="G213" s="298"/>
      <c r="H213" s="580"/>
      <c r="I213" s="298"/>
      <c r="J213" s="298"/>
      <c r="K213" s="298"/>
    </row>
    <row r="214" ht="15.75" customHeight="1">
      <c r="A214" s="298"/>
      <c r="B214" s="298"/>
      <c r="C214" s="298"/>
      <c r="D214" s="543"/>
      <c r="E214" s="298"/>
      <c r="F214" s="586"/>
      <c r="G214" s="298"/>
      <c r="H214" s="580"/>
      <c r="I214" s="298"/>
      <c r="J214" s="298"/>
      <c r="K214" s="298"/>
    </row>
    <row r="215" ht="15.75" customHeight="1">
      <c r="A215" s="298"/>
      <c r="B215" s="298"/>
      <c r="C215" s="298"/>
      <c r="D215" s="543"/>
      <c r="E215" s="298"/>
      <c r="F215" s="586"/>
      <c r="G215" s="298"/>
      <c r="H215" s="580"/>
      <c r="I215" s="298"/>
      <c r="J215" s="298"/>
      <c r="K215" s="298"/>
    </row>
    <row r="216" ht="15.75" customHeight="1">
      <c r="A216" s="298"/>
      <c r="B216" s="298"/>
      <c r="C216" s="298"/>
      <c r="D216" s="543"/>
      <c r="E216" s="298"/>
      <c r="F216" s="586"/>
      <c r="G216" s="298"/>
      <c r="H216" s="580"/>
      <c r="I216" s="298"/>
      <c r="J216" s="298"/>
      <c r="K216" s="298"/>
    </row>
    <row r="217" ht="15.75" customHeight="1">
      <c r="A217" s="298"/>
      <c r="B217" s="298"/>
      <c r="C217" s="298"/>
      <c r="D217" s="543"/>
      <c r="E217" s="298"/>
      <c r="F217" s="586"/>
      <c r="G217" s="298"/>
      <c r="H217" s="580"/>
      <c r="I217" s="298"/>
      <c r="J217" s="298"/>
      <c r="K217" s="298"/>
    </row>
    <row r="218" ht="15.75" customHeight="1">
      <c r="A218" s="298"/>
      <c r="B218" s="298"/>
      <c r="C218" s="298"/>
      <c r="D218" s="543"/>
      <c r="E218" s="298"/>
      <c r="F218" s="586"/>
      <c r="G218" s="298"/>
      <c r="H218" s="580"/>
      <c r="I218" s="298"/>
      <c r="J218" s="298"/>
      <c r="K218" s="298"/>
    </row>
    <row r="219" ht="15.75" customHeight="1">
      <c r="A219" s="298"/>
      <c r="B219" s="298"/>
      <c r="C219" s="298"/>
      <c r="D219" s="543"/>
      <c r="E219" s="298"/>
      <c r="F219" s="586"/>
      <c r="G219" s="298"/>
      <c r="H219" s="580"/>
      <c r="I219" s="298"/>
      <c r="J219" s="298"/>
      <c r="K219" s="298"/>
    </row>
    <row r="220" ht="15.75" customHeight="1">
      <c r="A220" s="298"/>
      <c r="B220" s="298"/>
      <c r="C220" s="298"/>
      <c r="D220" s="543"/>
      <c r="E220" s="298"/>
      <c r="F220" s="586"/>
      <c r="G220" s="298"/>
      <c r="H220" s="580"/>
      <c r="I220" s="298"/>
      <c r="J220" s="298"/>
      <c r="K220" s="29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.38"/>
    <col customWidth="1" min="3" max="3" width="30.38"/>
    <col customWidth="1" min="4" max="4" width="11.38"/>
    <col customWidth="1" min="5" max="5" width="12.75"/>
    <col customWidth="1" min="6" max="6" width="14.25"/>
    <col customWidth="1" min="7" max="7" width="13.75"/>
    <col customWidth="1" min="8" max="8" width="13.88"/>
    <col customWidth="1" min="9" max="10" width="13.63"/>
    <col customWidth="1" min="11" max="11" width="13.75"/>
  </cols>
  <sheetData>
    <row r="1" ht="15.75" customHeight="1">
      <c r="A1" s="587" t="s">
        <v>203</v>
      </c>
      <c r="B1" s="588"/>
      <c r="C1" s="588"/>
      <c r="D1" s="588"/>
      <c r="E1" s="588"/>
      <c r="F1" s="404">
        <f t="shared" ref="F1:K1" si="1">F2+543</f>
        <v>2567</v>
      </c>
      <c r="G1" s="404">
        <f t="shared" si="1"/>
        <v>2568</v>
      </c>
      <c r="H1" s="404">
        <f t="shared" si="1"/>
        <v>2569</v>
      </c>
      <c r="I1" s="404">
        <f t="shared" si="1"/>
        <v>2570</v>
      </c>
      <c r="J1" s="404">
        <f t="shared" si="1"/>
        <v>2571</v>
      </c>
      <c r="K1" s="404">
        <f t="shared" si="1"/>
        <v>2572</v>
      </c>
    </row>
    <row r="2" ht="15.75" customHeight="1">
      <c r="A2" s="589" t="s">
        <v>100</v>
      </c>
      <c r="B2" s="428"/>
      <c r="C2" s="428"/>
      <c r="D2" s="428"/>
      <c r="E2" s="428"/>
      <c r="F2" s="590">
        <f t="shared" ref="F2:K2" si="2">YEAR(F4)</f>
        <v>2024</v>
      </c>
      <c r="G2" s="590">
        <f t="shared" si="2"/>
        <v>2025</v>
      </c>
      <c r="H2" s="590">
        <f t="shared" si="2"/>
        <v>2026</v>
      </c>
      <c r="I2" s="590">
        <f t="shared" si="2"/>
        <v>2027</v>
      </c>
      <c r="J2" s="590">
        <f t="shared" si="2"/>
        <v>2028</v>
      </c>
      <c r="K2" s="590">
        <f t="shared" si="2"/>
        <v>2029</v>
      </c>
    </row>
    <row r="3" ht="15.75" customHeight="1">
      <c r="A3" s="591" t="s">
        <v>101</v>
      </c>
      <c r="B3" s="428"/>
      <c r="C3" s="428"/>
      <c r="D3" s="428" t="s">
        <v>102</v>
      </c>
      <c r="E3" s="428" t="s">
        <v>103</v>
      </c>
      <c r="F3" s="556">
        <v>0.0</v>
      </c>
      <c r="G3" s="556">
        <f t="shared" ref="G3:K3" si="3">F3+1</f>
        <v>1</v>
      </c>
      <c r="H3" s="556">
        <f t="shared" si="3"/>
        <v>2</v>
      </c>
      <c r="I3" s="556">
        <f t="shared" si="3"/>
        <v>3</v>
      </c>
      <c r="J3" s="556">
        <f t="shared" si="3"/>
        <v>4</v>
      </c>
      <c r="K3" s="556">
        <f t="shared" si="3"/>
        <v>5</v>
      </c>
    </row>
    <row r="4" ht="15.75" customHeight="1">
      <c r="A4" s="414"/>
      <c r="B4" s="298"/>
      <c r="C4" s="298" t="s">
        <v>104</v>
      </c>
      <c r="D4" s="543"/>
      <c r="E4" s="298"/>
      <c r="F4" s="592">
        <v>45292.0</v>
      </c>
      <c r="G4" s="553">
        <f t="shared" ref="G4:K4" si="4">F5+1</f>
        <v>45658</v>
      </c>
      <c r="H4" s="553">
        <f t="shared" si="4"/>
        <v>46023</v>
      </c>
      <c r="I4" s="553">
        <f t="shared" si="4"/>
        <v>46388</v>
      </c>
      <c r="J4" s="553">
        <f t="shared" si="4"/>
        <v>46753</v>
      </c>
      <c r="K4" s="553">
        <f t="shared" si="4"/>
        <v>47119</v>
      </c>
    </row>
    <row r="5" ht="15.75" customHeight="1">
      <c r="A5" s="420"/>
      <c r="B5" s="593"/>
      <c r="C5" s="593" t="s">
        <v>105</v>
      </c>
      <c r="D5" s="594"/>
      <c r="E5" s="593"/>
      <c r="F5" s="425">
        <f t="shared" ref="F5:K5" si="5">eomonth(F4,11)</f>
        <v>45657</v>
      </c>
      <c r="G5" s="425">
        <f t="shared" si="5"/>
        <v>46022</v>
      </c>
      <c r="H5" s="425">
        <f t="shared" si="5"/>
        <v>46387</v>
      </c>
      <c r="I5" s="425">
        <f t="shared" si="5"/>
        <v>46752</v>
      </c>
      <c r="J5" s="425">
        <f t="shared" si="5"/>
        <v>47118</v>
      </c>
      <c r="K5" s="425">
        <f t="shared" si="5"/>
        <v>47483</v>
      </c>
    </row>
    <row r="6" ht="15.75" customHeight="1">
      <c r="A6" s="426" t="s">
        <v>246</v>
      </c>
      <c r="B6" s="426"/>
      <c r="C6" s="426"/>
      <c r="D6" s="428"/>
      <c r="E6" s="426"/>
      <c r="F6" s="555"/>
      <c r="G6" s="555"/>
      <c r="H6" s="558"/>
      <c r="I6" s="555"/>
      <c r="J6" s="555"/>
      <c r="K6" s="555"/>
    </row>
    <row r="7" ht="15.75" customHeight="1">
      <c r="A7" s="595"/>
      <c r="B7" s="596" t="s">
        <v>247</v>
      </c>
      <c r="C7" s="595"/>
      <c r="D7" s="597"/>
      <c r="E7" s="598"/>
      <c r="F7" s="442">
        <v>0.0</v>
      </c>
      <c r="G7" s="442">
        <f>'Profit&amp;Loss'!G32</f>
        <v>86614268.25</v>
      </c>
      <c r="H7" s="442">
        <f>'Profit&amp;Loss'!H32</f>
        <v>61919297.84</v>
      </c>
      <c r="I7" s="442">
        <f>'Profit&amp;Loss'!I32</f>
        <v>122273560.2</v>
      </c>
      <c r="J7" s="442">
        <f>'Profit&amp;Loss'!J32</f>
        <v>175290935.1</v>
      </c>
      <c r="K7" s="442">
        <f>'Profit&amp;Loss'!K32</f>
        <v>225629721</v>
      </c>
    </row>
    <row r="8" ht="15.75" customHeight="1">
      <c r="A8" s="599"/>
      <c r="B8" s="600" t="s">
        <v>248</v>
      </c>
      <c r="C8" s="540"/>
      <c r="D8" s="541"/>
      <c r="E8" s="540"/>
      <c r="F8" s="464">
        <v>0.0</v>
      </c>
      <c r="G8" s="464">
        <f>'Profit&amp;Loss'!G40</f>
        <v>-20787012.39</v>
      </c>
      <c r="H8" s="464">
        <f>'Profit&amp;Loss'!H40</f>
        <v>-14640313.04</v>
      </c>
      <c r="I8" s="464">
        <f>'Profit&amp;Loss'!I40</f>
        <v>-29755921.88</v>
      </c>
      <c r="J8" s="464">
        <f>'Profit&amp;Loss'!J40</f>
        <v>-43037308.85</v>
      </c>
      <c r="K8" s="464">
        <f>'Profit&amp;Loss'!K40</f>
        <v>-55635526.96</v>
      </c>
    </row>
    <row r="9" ht="15.75" customHeight="1">
      <c r="A9" s="540"/>
      <c r="B9" s="600" t="s">
        <v>249</v>
      </c>
      <c r="C9" s="540"/>
      <c r="D9" s="541"/>
      <c r="E9" s="540"/>
      <c r="F9" s="464">
        <v>0.0</v>
      </c>
      <c r="G9" s="464">
        <f>-'Profit&amp;Loss'!G30</f>
        <v>6342382.516</v>
      </c>
      <c r="H9" s="464">
        <f>-'Profit&amp;Loss'!H30</f>
        <v>6337991.756</v>
      </c>
      <c r="I9" s="464">
        <f>-'Profit&amp;Loss'!I30</f>
        <v>3804499.981</v>
      </c>
      <c r="J9" s="464">
        <f>-'Profit&amp;Loss'!J30</f>
        <v>3508816.848</v>
      </c>
      <c r="K9" s="464">
        <f>-'Profit&amp;Loss'!K30</f>
        <v>3436104.493</v>
      </c>
    </row>
    <row r="10" ht="15.75" customHeight="1">
      <c r="A10" s="540"/>
      <c r="B10" s="600" t="s">
        <v>250</v>
      </c>
      <c r="C10" s="540"/>
      <c r="D10" s="541"/>
      <c r="E10" s="540"/>
      <c r="F10" s="464">
        <v>0.0</v>
      </c>
      <c r="G10" s="464">
        <f>-'Profit&amp;Loss'!G31</f>
        <v>1000000</v>
      </c>
      <c r="H10" s="464">
        <f>-'Profit&amp;Loss'!H31</f>
        <v>2000000</v>
      </c>
      <c r="I10" s="464">
        <f>-'Profit&amp;Loss'!I31</f>
        <v>3000000</v>
      </c>
      <c r="J10" s="464">
        <f>-'Profit&amp;Loss'!J31</f>
        <v>4000000</v>
      </c>
      <c r="K10" s="464">
        <f>-'Profit&amp;Loss'!K31</f>
        <v>5000000</v>
      </c>
    </row>
    <row r="11" ht="15.75" customHeight="1">
      <c r="A11" s="540"/>
      <c r="B11" s="600" t="s">
        <v>251</v>
      </c>
      <c r="C11" s="540"/>
      <c r="D11" s="541"/>
      <c r="E11" s="540"/>
      <c r="F11" s="464">
        <v>-3.50337737E7</v>
      </c>
      <c r="G11" s="464">
        <f>BalancSheet!F9-BalancSheet!G9</f>
        <v>-59810193.42</v>
      </c>
      <c r="H11" s="464">
        <f>BalancSheet!G9-BalancSheet!H9</f>
        <v>-12437786.3</v>
      </c>
      <c r="I11" s="464">
        <f>BalancSheet!H9-BalancSheet!I9</f>
        <v>-21215893.15</v>
      </c>
      <c r="J11" s="464">
        <f>BalancSheet!I9-BalancSheet!J9</f>
        <v>-16937826.16</v>
      </c>
      <c r="K11" s="464">
        <f>BalancSheet!J9-BalancSheet!K9</f>
        <v>-16875268.36</v>
      </c>
    </row>
    <row r="12" ht="15.75" customHeight="1">
      <c r="A12" s="540"/>
      <c r="B12" s="600" t="s">
        <v>252</v>
      </c>
      <c r="C12" s="540"/>
      <c r="D12" s="541"/>
      <c r="E12" s="540"/>
      <c r="F12" s="601">
        <v>-5.006856191E7</v>
      </c>
      <c r="G12" s="464">
        <f>BalancSheet!F10-BalancSheet!G10</f>
        <v>-80846506.58</v>
      </c>
      <c r="H12" s="464">
        <f>BalancSheet!G10-BalancSheet!H10</f>
        <v>-20590027.4</v>
      </c>
      <c r="I12" s="464">
        <f>BalancSheet!H10-BalancSheet!I10</f>
        <v>-26874308.22</v>
      </c>
      <c r="J12" s="464">
        <f>BalancSheet!I10-BalancSheet!J10</f>
        <v>-20855735.14</v>
      </c>
      <c r="K12" s="464">
        <f>BalancSheet!J10-BalancSheet!K10</f>
        <v>-20940415.89</v>
      </c>
    </row>
    <row r="13" ht="15.75" customHeight="1">
      <c r="A13" s="602"/>
      <c r="B13" s="603" t="s">
        <v>253</v>
      </c>
      <c r="C13" s="602"/>
      <c r="D13" s="604"/>
      <c r="E13" s="602"/>
      <c r="F13" s="442">
        <v>1.810941774E7</v>
      </c>
      <c r="G13" s="512">
        <f>BalancSheet!G13-BalancSheet!F13</f>
        <v>3709760.342</v>
      </c>
      <c r="H13" s="512">
        <f>BalancSheet!H13-BalancSheet!G13</f>
        <v>3431671.233</v>
      </c>
      <c r="I13" s="512">
        <f>BalancSheet!I13-BalancSheet!H13</f>
        <v>4479051.37</v>
      </c>
      <c r="J13" s="512">
        <f>BalancSheet!J13-BalancSheet!I13</f>
        <v>3475955.856</v>
      </c>
      <c r="K13" s="512">
        <f>BalancSheet!K13-BalancSheet!J13</f>
        <v>3490069.315</v>
      </c>
    </row>
    <row r="14" ht="15.75" customHeight="1">
      <c r="A14" s="605"/>
      <c r="B14" s="606" t="s">
        <v>254</v>
      </c>
      <c r="C14" s="605"/>
      <c r="D14" s="607"/>
      <c r="E14" s="605"/>
      <c r="F14" s="608">
        <v>0.0</v>
      </c>
      <c r="G14" s="609">
        <f t="shared" ref="G14:K14" si="6">sum(G7:G13)</f>
        <v>-63777301.29</v>
      </c>
      <c r="H14" s="609">
        <f t="shared" si="6"/>
        <v>26020834.09</v>
      </c>
      <c r="I14" s="609">
        <f t="shared" si="6"/>
        <v>55710988.29</v>
      </c>
      <c r="J14" s="609">
        <f t="shared" si="6"/>
        <v>105444837.6</v>
      </c>
      <c r="K14" s="609">
        <f t="shared" si="6"/>
        <v>144104683.6</v>
      </c>
    </row>
    <row r="15" ht="15.75" customHeight="1">
      <c r="A15" s="461"/>
      <c r="B15" s="600" t="s">
        <v>255</v>
      </c>
      <c r="C15" s="540"/>
      <c r="D15" s="541"/>
      <c r="E15" s="540"/>
      <c r="F15" s="464">
        <f>-sum(Assumption_sheet!E135:E139)</f>
        <v>-28320028.62</v>
      </c>
      <c r="G15" s="610">
        <f>Data_Input!R17</f>
        <v>-10000000</v>
      </c>
      <c r="H15" s="610">
        <f>Data_Input!S17</f>
        <v>-10000000</v>
      </c>
      <c r="I15" s="610">
        <f>Data_Input!T17</f>
        <v>-10000000</v>
      </c>
      <c r="J15" s="610">
        <f>Data_Input!U17</f>
        <v>-10000000</v>
      </c>
      <c r="K15" s="610">
        <f>Data_Input!V17</f>
        <v>-10000000</v>
      </c>
    </row>
    <row r="16" ht="15.75" customHeight="1">
      <c r="A16" s="611"/>
      <c r="B16" s="606" t="s">
        <v>256</v>
      </c>
      <c r="C16" s="605"/>
      <c r="D16" s="607"/>
      <c r="E16" s="605"/>
      <c r="F16" s="609">
        <f t="shared" ref="F16:K16" si="7">F15</f>
        <v>-28320028.62</v>
      </c>
      <c r="G16" s="609">
        <f t="shared" si="7"/>
        <v>-10000000</v>
      </c>
      <c r="H16" s="609">
        <f t="shared" si="7"/>
        <v>-10000000</v>
      </c>
      <c r="I16" s="609">
        <f t="shared" si="7"/>
        <v>-10000000</v>
      </c>
      <c r="J16" s="609">
        <f t="shared" si="7"/>
        <v>-10000000</v>
      </c>
      <c r="K16" s="609">
        <f t="shared" si="7"/>
        <v>-10000000</v>
      </c>
    </row>
    <row r="17" ht="15.75" customHeight="1">
      <c r="A17" s="461"/>
      <c r="B17" s="600" t="s">
        <v>257</v>
      </c>
      <c r="C17" s="540"/>
      <c r="D17" s="541"/>
      <c r="E17" s="540"/>
      <c r="F17" s="464">
        <f>Assumption_sheet!E187</f>
        <v>83300254.58</v>
      </c>
      <c r="G17" s="464">
        <f>Assumption_sheet!I191</f>
        <v>0</v>
      </c>
      <c r="H17" s="464">
        <f>Assumption_sheet!J191</f>
        <v>0</v>
      </c>
      <c r="I17" s="464">
        <f>Assumption_sheet!K191</f>
        <v>0</v>
      </c>
      <c r="J17" s="464">
        <f>Assumption_sheet!L191</f>
        <v>0</v>
      </c>
      <c r="K17" s="464">
        <f>Assumption_sheet!M191</f>
        <v>0</v>
      </c>
    </row>
    <row r="18" ht="15.75" customHeight="1">
      <c r="A18" s="461"/>
      <c r="B18" s="600" t="s">
        <v>258</v>
      </c>
      <c r="C18" s="540"/>
      <c r="D18" s="541"/>
      <c r="E18" s="540"/>
      <c r="F18" s="570">
        <v>0.0</v>
      </c>
      <c r="G18" s="570">
        <f>(Assumption_sheet!I192+Assumption_sheet!I199)</f>
        <v>-2003203.865</v>
      </c>
      <c r="H18" s="570">
        <f>(Assumption_sheet!J192+Assumption_sheet!J199)</f>
        <v>-2003203.865</v>
      </c>
      <c r="I18" s="570">
        <f>(Assumption_sheet!K192+Assumption_sheet!K199)</f>
        <v>-2003203.865</v>
      </c>
      <c r="J18" s="570">
        <f>(Assumption_sheet!L192+Assumption_sheet!L199)</f>
        <v>-2003203.865</v>
      </c>
      <c r="K18" s="570">
        <f>(Assumption_sheet!M192+Assumption_sheet!M199)</f>
        <v>0</v>
      </c>
    </row>
    <row r="19" ht="15.75" customHeight="1">
      <c r="A19" s="461"/>
      <c r="B19" s="600" t="s">
        <v>259</v>
      </c>
      <c r="C19" s="540"/>
      <c r="D19" s="541"/>
      <c r="E19" s="540"/>
      <c r="F19" s="464">
        <v>0.0</v>
      </c>
      <c r="G19" s="464">
        <f>'Profit&amp;Loss'!G36</f>
        <v>-3466218.685</v>
      </c>
      <c r="H19" s="464">
        <f>'Profit&amp;Loss'!H36</f>
        <v>-3358045.676</v>
      </c>
      <c r="I19" s="464">
        <f>'Profit&amp;Loss'!I36</f>
        <v>-3249872.668</v>
      </c>
      <c r="J19" s="464">
        <f>'Profit&amp;Loss'!J36</f>
        <v>-3141699.659</v>
      </c>
      <c r="K19" s="464">
        <f>'Profit&amp;Loss'!K36</f>
        <v>-3087613.155</v>
      </c>
    </row>
    <row r="20" ht="15.75" customHeight="1">
      <c r="A20" s="523"/>
      <c r="B20" s="600" t="s">
        <v>260</v>
      </c>
      <c r="C20" s="612"/>
      <c r="D20" s="613"/>
      <c r="E20" s="614"/>
      <c r="F20" s="442">
        <f>Assumption_sheet!E150-Assumption_sheet!E187</f>
        <v>85861316.65</v>
      </c>
      <c r="G20" s="442">
        <v>0.0</v>
      </c>
      <c r="H20" s="442">
        <v>0.0</v>
      </c>
      <c r="I20" s="442">
        <v>0.0</v>
      </c>
      <c r="J20" s="442">
        <v>0.0</v>
      </c>
      <c r="K20" s="442">
        <v>0.0</v>
      </c>
    </row>
    <row r="21" ht="15.75" customHeight="1">
      <c r="A21" s="611"/>
      <c r="B21" s="606" t="s">
        <v>261</v>
      </c>
      <c r="C21" s="605"/>
      <c r="D21" s="607"/>
      <c r="E21" s="605"/>
      <c r="F21" s="609">
        <f t="shared" ref="F21:K21" si="8">sum(F17:F20)</f>
        <v>169161571.2</v>
      </c>
      <c r="G21" s="609">
        <f t="shared" si="8"/>
        <v>-5469422.55</v>
      </c>
      <c r="H21" s="609">
        <f t="shared" si="8"/>
        <v>-5361249.541</v>
      </c>
      <c r="I21" s="609">
        <f t="shared" si="8"/>
        <v>-5253076.533</v>
      </c>
      <c r="J21" s="609">
        <f t="shared" si="8"/>
        <v>-5144903.524</v>
      </c>
      <c r="K21" s="609">
        <f t="shared" si="8"/>
        <v>-3087613.155</v>
      </c>
    </row>
    <row r="22" ht="15.75" customHeight="1">
      <c r="A22" s="540"/>
      <c r="B22" s="600" t="s">
        <v>262</v>
      </c>
      <c r="C22" s="540"/>
      <c r="D22" s="541"/>
      <c r="E22" s="540"/>
      <c r="F22" s="570">
        <f>Assumption_sheet!E127</f>
        <v>16443308.13</v>
      </c>
      <c r="G22" s="464">
        <f t="shared" ref="G22:K22" si="9">F24</f>
        <v>16443308.13</v>
      </c>
      <c r="H22" s="464">
        <f t="shared" si="9"/>
        <v>-62803415.71</v>
      </c>
      <c r="I22" s="464">
        <f t="shared" si="9"/>
        <v>-52143831.16</v>
      </c>
      <c r="J22" s="464">
        <f t="shared" si="9"/>
        <v>-11685919.4</v>
      </c>
      <c r="K22" s="464">
        <f t="shared" si="9"/>
        <v>78614014.69</v>
      </c>
    </row>
    <row r="23" ht="15.75" customHeight="1">
      <c r="A23" s="584"/>
      <c r="B23" s="615" t="s">
        <v>263</v>
      </c>
      <c r="C23" s="325"/>
      <c r="D23" s="585"/>
      <c r="E23" s="584"/>
      <c r="F23" s="464">
        <v>0.0</v>
      </c>
      <c r="G23" s="464">
        <f>sum(G14,G16,G21)</f>
        <v>-79246723.84</v>
      </c>
      <c r="H23" s="464">
        <f t="shared" ref="H23:K23" si="10">H14+H16+H21</f>
        <v>10659584.55</v>
      </c>
      <c r="I23" s="464">
        <f t="shared" si="10"/>
        <v>40457911.76</v>
      </c>
      <c r="J23" s="464">
        <f t="shared" si="10"/>
        <v>90299934.09</v>
      </c>
      <c r="K23" s="464">
        <f t="shared" si="10"/>
        <v>131017070.4</v>
      </c>
    </row>
    <row r="24" ht="15.75" customHeight="1">
      <c r="A24" s="616"/>
      <c r="B24" s="617" t="s">
        <v>264</v>
      </c>
      <c r="C24" s="616"/>
      <c r="D24" s="618"/>
      <c r="E24" s="619"/>
      <c r="F24" s="609">
        <f t="shared" ref="F24:K24" si="11">sum(F22:F23)</f>
        <v>16443308.13</v>
      </c>
      <c r="G24" s="609">
        <f t="shared" si="11"/>
        <v>-62803415.71</v>
      </c>
      <c r="H24" s="609">
        <f t="shared" si="11"/>
        <v>-52143831.16</v>
      </c>
      <c r="I24" s="609">
        <f t="shared" si="11"/>
        <v>-11685919.4</v>
      </c>
      <c r="J24" s="609">
        <f t="shared" si="11"/>
        <v>78614014.69</v>
      </c>
      <c r="K24" s="609">
        <f t="shared" si="11"/>
        <v>209631085.1</v>
      </c>
    </row>
    <row r="25" ht="15.75" customHeight="1">
      <c r="A25" s="540"/>
      <c r="B25" s="201"/>
      <c r="C25" s="540"/>
      <c r="D25" s="541"/>
      <c r="E25" s="540"/>
      <c r="F25" s="540"/>
      <c r="G25" s="540"/>
      <c r="H25" s="540"/>
      <c r="I25" s="540"/>
      <c r="J25" s="540"/>
      <c r="K25" s="540"/>
    </row>
    <row r="26" ht="15.75" customHeight="1">
      <c r="A26" s="540"/>
      <c r="B26" s="201"/>
      <c r="C26" s="540"/>
      <c r="D26" s="541"/>
      <c r="E26" s="540"/>
      <c r="F26" s="540"/>
      <c r="G26" s="540"/>
      <c r="H26" s="540"/>
      <c r="I26" s="540"/>
      <c r="J26" s="540"/>
      <c r="K26" s="540"/>
    </row>
    <row r="27" ht="15.75" customHeight="1">
      <c r="A27" s="584"/>
      <c r="B27" s="584"/>
      <c r="C27" s="584"/>
      <c r="D27" s="585"/>
      <c r="E27" s="584"/>
      <c r="F27" s="584"/>
      <c r="G27" s="584"/>
      <c r="H27" s="581"/>
      <c r="I27" s="584"/>
      <c r="J27" s="584"/>
      <c r="K27" s="584"/>
    </row>
    <row r="28" ht="15.75" customHeight="1">
      <c r="A28" s="540"/>
      <c r="B28" s="201"/>
      <c r="C28" s="540"/>
      <c r="D28" s="541"/>
      <c r="E28" s="540"/>
      <c r="F28" s="540"/>
      <c r="G28" s="540"/>
      <c r="H28" s="540"/>
      <c r="I28" s="540"/>
      <c r="J28" s="540"/>
      <c r="K28" s="540"/>
    </row>
    <row r="29" ht="15.75" customHeight="1">
      <c r="A29" s="540"/>
      <c r="B29" s="201"/>
      <c r="C29" s="540"/>
      <c r="D29" s="541"/>
      <c r="E29" s="540"/>
      <c r="F29" s="540"/>
      <c r="G29" s="540"/>
      <c r="H29" s="540"/>
      <c r="I29" s="540"/>
      <c r="J29" s="540"/>
      <c r="K29" s="540"/>
    </row>
    <row r="30" ht="15.75" customHeight="1">
      <c r="A30" s="533"/>
      <c r="B30" s="201"/>
      <c r="C30" s="533"/>
      <c r="D30" s="534"/>
      <c r="E30" s="533"/>
      <c r="F30" s="533"/>
      <c r="G30" s="533"/>
      <c r="H30" s="540"/>
      <c r="I30" s="533"/>
      <c r="J30" s="533"/>
      <c r="K30" s="533"/>
    </row>
    <row r="31" ht="15.75" customHeight="1">
      <c r="A31" s="201"/>
      <c r="B31" s="201"/>
      <c r="C31" s="201"/>
      <c r="D31" s="537"/>
      <c r="E31" s="540"/>
      <c r="F31" s="201"/>
      <c r="G31" s="201"/>
      <c r="H31" s="540"/>
      <c r="I31" s="201"/>
      <c r="J31" s="201"/>
      <c r="K31" s="201"/>
    </row>
    <row r="32" ht="15.75" customHeight="1">
      <c r="A32" s="533"/>
      <c r="B32" s="201"/>
      <c r="C32" s="533"/>
      <c r="D32" s="534"/>
      <c r="E32" s="533"/>
      <c r="F32" s="533"/>
      <c r="G32" s="533"/>
      <c r="H32" s="540"/>
      <c r="I32" s="533"/>
      <c r="J32" s="533"/>
      <c r="K32" s="533"/>
    </row>
    <row r="33" ht="15.75" customHeight="1">
      <c r="A33" s="201"/>
      <c r="B33" s="201"/>
      <c r="C33" s="201"/>
      <c r="D33" s="537"/>
      <c r="E33" s="201"/>
      <c r="F33" s="201"/>
      <c r="G33" s="201"/>
      <c r="H33" s="540"/>
      <c r="I33" s="201"/>
      <c r="J33" s="201"/>
      <c r="K33" s="201"/>
    </row>
    <row r="34" ht="15.75" customHeight="1">
      <c r="A34" s="201"/>
      <c r="B34" s="536"/>
      <c r="C34" s="201"/>
      <c r="D34" s="537"/>
      <c r="E34" s="201"/>
      <c r="F34" s="201"/>
      <c r="G34" s="201"/>
      <c r="H34" s="540"/>
      <c r="I34" s="201"/>
      <c r="J34" s="201"/>
      <c r="K34" s="201"/>
    </row>
    <row r="35" ht="15.75" customHeight="1">
      <c r="A35" s="201"/>
      <c r="B35" s="201"/>
      <c r="C35" s="201"/>
      <c r="D35" s="537"/>
      <c r="E35" s="201"/>
      <c r="F35" s="201"/>
      <c r="G35" s="201"/>
      <c r="H35" s="540"/>
      <c r="I35" s="201"/>
      <c r="J35" s="201"/>
      <c r="K35" s="201"/>
    </row>
    <row r="36" ht="15.75" customHeight="1">
      <c r="A36" s="201"/>
      <c r="B36" s="201"/>
      <c r="C36" s="201"/>
      <c r="D36" s="537"/>
      <c r="E36" s="201"/>
      <c r="F36" s="201"/>
      <c r="G36" s="201"/>
      <c r="H36" s="540"/>
      <c r="I36" s="201"/>
      <c r="J36" s="201"/>
      <c r="K36" s="201"/>
    </row>
    <row r="37" ht="15.75" customHeight="1">
      <c r="A37" s="201"/>
      <c r="B37" s="201"/>
      <c r="C37" s="201"/>
      <c r="D37" s="537"/>
      <c r="E37" s="201"/>
      <c r="F37" s="201"/>
      <c r="G37" s="201"/>
      <c r="H37" s="540"/>
      <c r="I37" s="201"/>
      <c r="J37" s="201"/>
      <c r="K37" s="201"/>
    </row>
    <row r="38" ht="15.75" customHeight="1">
      <c r="A38" s="201"/>
      <c r="B38" s="201"/>
      <c r="C38" s="201"/>
      <c r="D38" s="537"/>
      <c r="E38" s="201"/>
      <c r="F38" s="201"/>
      <c r="G38" s="201"/>
      <c r="H38" s="540"/>
      <c r="I38" s="201"/>
      <c r="J38" s="201"/>
      <c r="K38" s="201"/>
    </row>
    <row r="39" ht="15.75" customHeight="1">
      <c r="A39" s="536"/>
      <c r="B39" s="201"/>
      <c r="C39" s="201"/>
      <c r="D39" s="537"/>
      <c r="E39" s="201"/>
      <c r="F39" s="201"/>
      <c r="G39" s="201"/>
      <c r="H39" s="540"/>
      <c r="I39" s="201"/>
      <c r="J39" s="201"/>
      <c r="K39" s="201"/>
    </row>
    <row r="40" ht="15.75" customHeight="1">
      <c r="A40" s="201"/>
      <c r="B40" s="201"/>
      <c r="C40" s="201"/>
      <c r="D40" s="537"/>
      <c r="E40" s="540"/>
      <c r="F40" s="201"/>
      <c r="G40" s="201"/>
      <c r="H40" s="540"/>
      <c r="I40" s="201"/>
      <c r="J40" s="201"/>
      <c r="K40" s="201"/>
    </row>
    <row r="41" ht="15.75" customHeight="1">
      <c r="A41" s="201"/>
      <c r="B41" s="201"/>
      <c r="C41" s="201"/>
      <c r="D41" s="537"/>
      <c r="E41" s="540"/>
      <c r="F41" s="201"/>
      <c r="G41" s="201"/>
      <c r="H41" s="540"/>
      <c r="I41" s="201"/>
      <c r="J41" s="201"/>
      <c r="K41" s="201"/>
    </row>
    <row r="42" ht="15.75" customHeight="1">
      <c r="A42" s="201"/>
      <c r="B42" s="201"/>
      <c r="C42" s="201"/>
      <c r="D42" s="537"/>
      <c r="E42" s="540"/>
      <c r="F42" s="201"/>
      <c r="G42" s="201"/>
      <c r="H42" s="540"/>
      <c r="I42" s="201"/>
      <c r="J42" s="201"/>
      <c r="K42" s="201"/>
    </row>
    <row r="43" ht="15.75" customHeight="1">
      <c r="A43" s="201"/>
      <c r="B43" s="201"/>
      <c r="C43" s="201"/>
      <c r="D43" s="537"/>
      <c r="E43" s="540"/>
      <c r="F43" s="201"/>
      <c r="G43" s="201"/>
      <c r="H43" s="540"/>
      <c r="I43" s="201"/>
      <c r="J43" s="201"/>
      <c r="K43" s="201"/>
    </row>
    <row r="44" ht="15.75" customHeight="1">
      <c r="A44" s="201"/>
      <c r="B44" s="201"/>
      <c r="C44" s="201"/>
      <c r="D44" s="537"/>
      <c r="E44" s="540"/>
      <c r="F44" s="201"/>
      <c r="G44" s="201"/>
      <c r="H44" s="540"/>
      <c r="I44" s="201"/>
      <c r="J44" s="201"/>
      <c r="K44" s="201"/>
    </row>
    <row r="45" ht="15.75" customHeight="1">
      <c r="A45" s="201"/>
      <c r="B45" s="201"/>
      <c r="C45" s="536"/>
      <c r="D45" s="537"/>
      <c r="E45" s="201"/>
      <c r="F45" s="201"/>
      <c r="G45" s="201"/>
      <c r="H45" s="540"/>
      <c r="I45" s="201"/>
      <c r="J45" s="201"/>
      <c r="K45" s="201"/>
    </row>
    <row r="46" ht="15.75" customHeight="1">
      <c r="A46" s="201"/>
      <c r="B46" s="201"/>
      <c r="C46" s="201"/>
      <c r="D46" s="537"/>
      <c r="E46" s="201"/>
      <c r="F46" s="201"/>
      <c r="G46" s="201"/>
      <c r="H46" s="540"/>
      <c r="I46" s="201"/>
      <c r="J46" s="201"/>
      <c r="K46" s="201"/>
    </row>
    <row r="47" ht="15.75" customHeight="1">
      <c r="A47" s="201"/>
      <c r="B47" s="536"/>
      <c r="C47" s="201"/>
      <c r="D47" s="537"/>
      <c r="E47" s="201"/>
      <c r="F47" s="201"/>
      <c r="G47" s="201"/>
      <c r="H47" s="540"/>
      <c r="I47" s="201"/>
      <c r="J47" s="201"/>
      <c r="K47" s="201"/>
    </row>
    <row r="48" ht="15.75" customHeight="1">
      <c r="A48" s="540"/>
      <c r="B48" s="540"/>
      <c r="C48" s="540"/>
      <c r="D48" s="541"/>
      <c r="E48" s="542"/>
      <c r="F48" s="540"/>
      <c r="G48" s="540"/>
      <c r="H48" s="540"/>
      <c r="I48" s="540"/>
      <c r="J48" s="540"/>
      <c r="K48" s="540"/>
    </row>
    <row r="49" ht="15.75" customHeight="1">
      <c r="A49" s="201"/>
      <c r="B49" s="201"/>
      <c r="C49" s="201"/>
      <c r="D49" s="537"/>
      <c r="E49" s="201"/>
      <c r="F49" s="201"/>
      <c r="G49" s="540"/>
      <c r="H49" s="540"/>
      <c r="I49" s="540"/>
      <c r="J49" s="540"/>
      <c r="K49" s="540"/>
    </row>
    <row r="50" ht="15.75" customHeight="1">
      <c r="A50" s="201"/>
      <c r="B50" s="201"/>
      <c r="C50" s="201"/>
      <c r="D50" s="537"/>
      <c r="E50" s="201"/>
      <c r="F50" s="201"/>
      <c r="G50" s="540"/>
      <c r="H50" s="540"/>
      <c r="I50" s="201"/>
      <c r="J50" s="201"/>
      <c r="K50" s="201"/>
    </row>
    <row r="51" ht="15.75" customHeight="1">
      <c r="A51" s="201"/>
      <c r="B51" s="201"/>
      <c r="C51" s="201"/>
      <c r="D51" s="537"/>
      <c r="E51" s="201"/>
      <c r="F51" s="201"/>
      <c r="G51" s="540"/>
      <c r="H51" s="540"/>
      <c r="I51" s="540"/>
      <c r="J51" s="540"/>
      <c r="K51" s="540"/>
    </row>
    <row r="52" ht="15.75" customHeight="1">
      <c r="A52" s="201"/>
      <c r="B52" s="201"/>
      <c r="C52" s="201"/>
      <c r="D52" s="537"/>
      <c r="E52" s="201"/>
      <c r="F52" s="201"/>
      <c r="G52" s="540"/>
      <c r="H52" s="540"/>
      <c r="I52" s="540"/>
      <c r="J52" s="540"/>
      <c r="K52" s="540"/>
    </row>
    <row r="53" ht="15.75" customHeight="1">
      <c r="A53" s="201"/>
      <c r="B53" s="201"/>
      <c r="C53" s="536"/>
      <c r="D53" s="537"/>
      <c r="E53" s="201"/>
      <c r="F53" s="201"/>
      <c r="G53" s="201"/>
      <c r="H53" s="540"/>
      <c r="I53" s="201"/>
      <c r="J53" s="201"/>
      <c r="K53" s="201"/>
    </row>
    <row r="54" ht="15.75" customHeight="1">
      <c r="A54" s="536"/>
      <c r="B54" s="201"/>
      <c r="C54" s="201"/>
      <c r="D54" s="537"/>
      <c r="E54" s="201"/>
      <c r="F54" s="201"/>
      <c r="G54" s="201"/>
      <c r="H54" s="540"/>
      <c r="I54" s="201"/>
      <c r="J54" s="201"/>
      <c r="K54" s="201"/>
    </row>
    <row r="55" ht="15.75" customHeight="1">
      <c r="A55" s="201"/>
      <c r="B55" s="201"/>
      <c r="C55" s="201"/>
      <c r="D55" s="534"/>
      <c r="E55" s="533"/>
      <c r="F55" s="201"/>
      <c r="G55" s="201"/>
      <c r="H55" s="540"/>
      <c r="I55" s="201"/>
      <c r="J55" s="201"/>
      <c r="K55" s="201"/>
    </row>
    <row r="56" ht="15.75" customHeight="1">
      <c r="A56" s="201"/>
      <c r="B56" s="201"/>
      <c r="C56" s="201"/>
      <c r="D56" s="537"/>
      <c r="E56" s="540"/>
      <c r="F56" s="201"/>
      <c r="G56" s="201"/>
      <c r="H56" s="540"/>
      <c r="I56" s="201"/>
      <c r="J56" s="201"/>
      <c r="K56" s="201"/>
    </row>
    <row r="57" ht="15.75" customHeight="1">
      <c r="A57" s="201"/>
      <c r="B57" s="201"/>
      <c r="C57" s="201"/>
      <c r="D57" s="537"/>
      <c r="E57" s="201"/>
      <c r="F57" s="201"/>
      <c r="G57" s="201"/>
      <c r="H57" s="540"/>
      <c r="I57" s="201"/>
      <c r="J57" s="201"/>
      <c r="K57" s="201"/>
    </row>
    <row r="58" ht="15.75" customHeight="1">
      <c r="A58" s="533"/>
      <c r="B58" s="533"/>
      <c r="C58" s="533"/>
      <c r="D58" s="534"/>
      <c r="E58" s="533"/>
      <c r="F58" s="533"/>
      <c r="G58" s="533"/>
      <c r="H58" s="540"/>
      <c r="I58" s="533"/>
      <c r="J58" s="533"/>
      <c r="K58" s="533"/>
    </row>
    <row r="59" ht="15.75" customHeight="1">
      <c r="A59" s="201"/>
      <c r="B59" s="201"/>
      <c r="C59" s="201"/>
      <c r="D59" s="537"/>
      <c r="E59" s="201"/>
      <c r="F59" s="201"/>
      <c r="G59" s="201"/>
      <c r="H59" s="540"/>
      <c r="I59" s="201"/>
      <c r="J59" s="201"/>
      <c r="K59" s="201"/>
    </row>
    <row r="60" ht="15.75" customHeight="1">
      <c r="A60" s="201"/>
      <c r="B60" s="201"/>
      <c r="C60" s="201"/>
      <c r="D60" s="537"/>
      <c r="E60" s="201"/>
      <c r="F60" s="201"/>
      <c r="G60" s="201"/>
      <c r="H60" s="540"/>
      <c r="I60" s="201"/>
      <c r="J60" s="201"/>
      <c r="K60" s="201"/>
    </row>
    <row r="61" ht="15.75" customHeight="1">
      <c r="A61" s="201"/>
      <c r="B61" s="201"/>
      <c r="C61" s="201"/>
      <c r="D61" s="537"/>
      <c r="E61" s="201"/>
      <c r="F61" s="201"/>
      <c r="G61" s="201"/>
      <c r="H61" s="540"/>
      <c r="I61" s="201"/>
      <c r="J61" s="201"/>
      <c r="K61" s="201"/>
    </row>
    <row r="62" ht="15.75" customHeight="1">
      <c r="A62" s="201"/>
      <c r="B62" s="201"/>
      <c r="C62" s="201"/>
      <c r="D62" s="537"/>
      <c r="E62" s="201"/>
      <c r="F62" s="201"/>
      <c r="G62" s="201"/>
      <c r="H62" s="540"/>
      <c r="I62" s="201"/>
      <c r="J62" s="201"/>
      <c r="K62" s="201"/>
    </row>
    <row r="63" ht="15.75" customHeight="1">
      <c r="A63" s="540"/>
      <c r="B63" s="540"/>
      <c r="C63" s="540"/>
      <c r="D63" s="541"/>
      <c r="E63" s="540"/>
      <c r="F63" s="540"/>
      <c r="G63" s="540"/>
      <c r="H63" s="540"/>
      <c r="I63" s="540"/>
      <c r="J63" s="540"/>
      <c r="K63" s="540"/>
    </row>
    <row r="64" ht="15.75" customHeight="1">
      <c r="A64" s="540"/>
      <c r="B64" s="540"/>
      <c r="C64" s="540"/>
      <c r="D64" s="541"/>
      <c r="E64" s="540"/>
      <c r="F64" s="540"/>
      <c r="G64" s="540"/>
      <c r="H64" s="540"/>
      <c r="I64" s="540"/>
      <c r="J64" s="540"/>
      <c r="K64" s="540"/>
    </row>
    <row r="65" ht="15.75" customHeight="1">
      <c r="A65" s="201"/>
      <c r="B65" s="201"/>
      <c r="C65" s="201"/>
      <c r="D65" s="537"/>
      <c r="E65" s="201"/>
      <c r="F65" s="201"/>
      <c r="G65" s="201"/>
      <c r="H65" s="540"/>
      <c r="I65" s="201"/>
      <c r="J65" s="201"/>
      <c r="K65" s="201"/>
    </row>
    <row r="66" ht="15.75" customHeight="1">
      <c r="A66" s="540"/>
      <c r="B66" s="540"/>
      <c r="C66" s="540"/>
      <c r="D66" s="541"/>
      <c r="E66" s="540"/>
      <c r="F66" s="540"/>
      <c r="G66" s="540"/>
      <c r="H66" s="540"/>
      <c r="I66" s="540"/>
      <c r="J66" s="540"/>
      <c r="K66" s="540"/>
    </row>
    <row r="67" ht="15.75" customHeight="1">
      <c r="A67" s="201"/>
      <c r="B67" s="201"/>
      <c r="C67" s="201"/>
      <c r="D67" s="537"/>
      <c r="E67" s="201"/>
      <c r="F67" s="201"/>
      <c r="G67" s="201"/>
      <c r="H67" s="540"/>
      <c r="I67" s="201"/>
      <c r="J67" s="201"/>
      <c r="K67" s="201"/>
    </row>
    <row r="68" ht="15.75" customHeight="1">
      <c r="A68" s="201"/>
      <c r="B68" s="201"/>
      <c r="C68" s="201"/>
      <c r="D68" s="537"/>
      <c r="E68" s="201"/>
      <c r="F68" s="201"/>
      <c r="G68" s="201"/>
      <c r="H68" s="540"/>
      <c r="I68" s="201"/>
      <c r="J68" s="201"/>
      <c r="K68" s="201"/>
    </row>
    <row r="69" ht="15.75" customHeight="1">
      <c r="A69" s="298"/>
      <c r="B69" s="298"/>
      <c r="C69" s="298"/>
      <c r="D69" s="543"/>
      <c r="E69" s="298"/>
      <c r="F69" s="298"/>
      <c r="G69" s="298"/>
      <c r="H69" s="580"/>
      <c r="I69" s="298"/>
      <c r="J69" s="298"/>
      <c r="K69" s="298"/>
    </row>
    <row r="70" ht="15.75" customHeight="1">
      <c r="A70" s="298"/>
      <c r="B70" s="298"/>
      <c r="C70" s="298"/>
      <c r="D70" s="543"/>
      <c r="E70" s="298"/>
      <c r="F70" s="298"/>
      <c r="G70" s="298"/>
      <c r="H70" s="580"/>
      <c r="I70" s="298"/>
      <c r="J70" s="298"/>
      <c r="K70" s="298"/>
    </row>
    <row r="71" ht="15.75" customHeight="1">
      <c r="A71" s="298"/>
      <c r="B71" s="298"/>
      <c r="C71" s="298"/>
      <c r="D71" s="543"/>
      <c r="E71" s="298"/>
      <c r="F71" s="298"/>
      <c r="G71" s="298"/>
      <c r="H71" s="580"/>
      <c r="I71" s="298"/>
      <c r="J71" s="298"/>
      <c r="K71" s="298"/>
    </row>
    <row r="72" ht="15.75" customHeight="1">
      <c r="A72" s="298"/>
      <c r="B72" s="298"/>
      <c r="C72" s="298"/>
      <c r="D72" s="543"/>
      <c r="E72" s="298"/>
      <c r="F72" s="298"/>
      <c r="G72" s="298"/>
      <c r="H72" s="580"/>
      <c r="I72" s="298"/>
      <c r="J72" s="298"/>
      <c r="K72" s="298"/>
    </row>
    <row r="73" ht="15.75" customHeight="1">
      <c r="A73" s="298"/>
      <c r="B73" s="298"/>
      <c r="C73" s="298"/>
      <c r="D73" s="543"/>
      <c r="E73" s="298"/>
      <c r="F73" s="298"/>
      <c r="G73" s="298"/>
      <c r="H73" s="580"/>
      <c r="I73" s="298"/>
      <c r="J73" s="298"/>
      <c r="K73" s="298"/>
    </row>
    <row r="74" ht="15.75" customHeight="1">
      <c r="A74" s="298"/>
      <c r="B74" s="298"/>
      <c r="C74" s="298"/>
      <c r="D74" s="543"/>
      <c r="E74" s="298"/>
      <c r="F74" s="298"/>
      <c r="G74" s="298"/>
      <c r="H74" s="580"/>
      <c r="I74" s="298"/>
      <c r="J74" s="298"/>
      <c r="K74" s="298"/>
    </row>
    <row r="75" ht="15.75" customHeight="1">
      <c r="A75" s="298"/>
      <c r="B75" s="298"/>
      <c r="C75" s="298"/>
      <c r="D75" s="543"/>
      <c r="E75" s="298"/>
      <c r="F75" s="298"/>
      <c r="G75" s="298"/>
      <c r="H75" s="580"/>
      <c r="I75" s="298"/>
      <c r="J75" s="298"/>
      <c r="K75" s="298"/>
    </row>
    <row r="76" ht="15.75" customHeight="1">
      <c r="A76" s="298"/>
      <c r="B76" s="298"/>
      <c r="C76" s="298"/>
      <c r="D76" s="543"/>
      <c r="E76" s="298"/>
      <c r="F76" s="298"/>
      <c r="G76" s="298"/>
      <c r="H76" s="580"/>
      <c r="I76" s="298"/>
      <c r="J76" s="298"/>
      <c r="K76" s="298"/>
    </row>
    <row r="77" ht="15.75" customHeight="1">
      <c r="A77" s="298"/>
      <c r="B77" s="298"/>
      <c r="C77" s="298"/>
      <c r="D77" s="543"/>
      <c r="E77" s="298"/>
      <c r="F77" s="298"/>
      <c r="G77" s="298"/>
      <c r="H77" s="580"/>
      <c r="I77" s="298"/>
      <c r="J77" s="298"/>
      <c r="K77" s="298"/>
    </row>
    <row r="78" ht="15.75" customHeight="1">
      <c r="A78" s="298"/>
      <c r="B78" s="298"/>
      <c r="C78" s="298"/>
      <c r="D78" s="543"/>
      <c r="E78" s="298"/>
      <c r="F78" s="298"/>
      <c r="G78" s="298"/>
      <c r="H78" s="580"/>
      <c r="I78" s="298"/>
      <c r="J78" s="298"/>
      <c r="K78" s="298"/>
    </row>
    <row r="79" ht="15.75" customHeight="1">
      <c r="A79" s="298"/>
      <c r="B79" s="298"/>
      <c r="C79" s="298"/>
      <c r="D79" s="543"/>
      <c r="E79" s="298"/>
      <c r="F79" s="298"/>
      <c r="G79" s="298"/>
      <c r="H79" s="580"/>
      <c r="I79" s="298"/>
      <c r="J79" s="298"/>
      <c r="K79" s="298"/>
    </row>
    <row r="80" ht="15.75" customHeight="1">
      <c r="A80" s="298"/>
      <c r="B80" s="298"/>
      <c r="C80" s="298"/>
      <c r="D80" s="543"/>
      <c r="E80" s="298"/>
      <c r="F80" s="298"/>
      <c r="G80" s="298"/>
      <c r="H80" s="580"/>
      <c r="I80" s="298"/>
      <c r="J80" s="298"/>
      <c r="K80" s="298"/>
    </row>
    <row r="81" ht="15.75" customHeight="1">
      <c r="A81" s="298"/>
      <c r="B81" s="298"/>
      <c r="C81" s="298"/>
      <c r="D81" s="543"/>
      <c r="E81" s="298"/>
      <c r="F81" s="298"/>
      <c r="G81" s="298"/>
      <c r="H81" s="580"/>
      <c r="I81" s="298"/>
      <c r="J81" s="298"/>
      <c r="K81" s="298"/>
    </row>
    <row r="82" ht="15.75" customHeight="1">
      <c r="A82" s="298"/>
      <c r="B82" s="298"/>
      <c r="C82" s="298"/>
      <c r="D82" s="543"/>
      <c r="E82" s="298"/>
      <c r="F82" s="298"/>
      <c r="G82" s="298"/>
      <c r="H82" s="580"/>
      <c r="I82" s="298"/>
      <c r="J82" s="298"/>
      <c r="K82" s="298"/>
    </row>
    <row r="83" ht="15.75" customHeight="1">
      <c r="A83" s="298"/>
      <c r="B83" s="298"/>
      <c r="C83" s="298"/>
      <c r="D83" s="543"/>
      <c r="E83" s="298"/>
      <c r="F83" s="298"/>
      <c r="G83" s="298"/>
      <c r="H83" s="580"/>
      <c r="I83" s="298"/>
      <c r="J83" s="298"/>
      <c r="K83" s="298"/>
    </row>
    <row r="84" ht="15.75" customHeight="1">
      <c r="A84" s="298"/>
      <c r="B84" s="298"/>
      <c r="C84" s="298"/>
      <c r="D84" s="543"/>
      <c r="E84" s="298"/>
      <c r="F84" s="298"/>
      <c r="G84" s="298"/>
      <c r="H84" s="580"/>
      <c r="I84" s="298"/>
      <c r="J84" s="298"/>
      <c r="K84" s="298"/>
    </row>
    <row r="85" ht="15.75" customHeight="1">
      <c r="A85" s="298"/>
      <c r="B85" s="298"/>
      <c r="C85" s="298"/>
      <c r="D85" s="543"/>
      <c r="E85" s="298"/>
      <c r="F85" s="298"/>
      <c r="G85" s="298"/>
      <c r="H85" s="580"/>
      <c r="I85" s="298"/>
      <c r="J85" s="298"/>
      <c r="K85" s="298"/>
    </row>
    <row r="86" ht="15.75" customHeight="1">
      <c r="A86" s="298"/>
      <c r="B86" s="298"/>
      <c r="C86" s="298"/>
      <c r="D86" s="543"/>
      <c r="E86" s="298"/>
      <c r="F86" s="298"/>
      <c r="G86" s="298"/>
      <c r="H86" s="580"/>
      <c r="I86" s="298"/>
      <c r="J86" s="298"/>
      <c r="K86" s="298"/>
    </row>
    <row r="87" ht="15.75" customHeight="1">
      <c r="A87" s="298"/>
      <c r="B87" s="298"/>
      <c r="C87" s="298"/>
      <c r="D87" s="543"/>
      <c r="E87" s="298"/>
      <c r="F87" s="298"/>
      <c r="G87" s="298"/>
      <c r="H87" s="580"/>
      <c r="I87" s="298"/>
      <c r="J87" s="298"/>
      <c r="K87" s="298"/>
    </row>
    <row r="88" ht="15.75" customHeight="1">
      <c r="A88" s="298"/>
      <c r="B88" s="298"/>
      <c r="C88" s="298"/>
      <c r="D88" s="543"/>
      <c r="E88" s="298"/>
      <c r="F88" s="298"/>
      <c r="G88" s="298"/>
      <c r="H88" s="580"/>
      <c r="I88" s="298"/>
      <c r="J88" s="298"/>
      <c r="K88" s="298"/>
    </row>
    <row r="89" ht="15.75" customHeight="1">
      <c r="A89" s="298"/>
      <c r="B89" s="298"/>
      <c r="C89" s="298"/>
      <c r="D89" s="543"/>
      <c r="E89" s="298"/>
      <c r="F89" s="298"/>
      <c r="G89" s="298"/>
      <c r="H89" s="580"/>
      <c r="I89" s="298"/>
      <c r="J89" s="298"/>
      <c r="K89" s="298"/>
    </row>
    <row r="90" ht="15.75" customHeight="1">
      <c r="A90" s="298"/>
      <c r="B90" s="298"/>
      <c r="C90" s="298"/>
      <c r="D90" s="543"/>
      <c r="E90" s="298"/>
      <c r="F90" s="298"/>
      <c r="G90" s="298"/>
      <c r="H90" s="580"/>
      <c r="I90" s="298"/>
      <c r="J90" s="298"/>
      <c r="K90" s="298"/>
    </row>
    <row r="91" ht="15.75" customHeight="1">
      <c r="A91" s="298"/>
      <c r="B91" s="298"/>
      <c r="C91" s="298"/>
      <c r="D91" s="543"/>
      <c r="E91" s="298"/>
      <c r="F91" s="298"/>
      <c r="G91" s="298"/>
      <c r="H91" s="580"/>
      <c r="I91" s="298"/>
      <c r="J91" s="298"/>
      <c r="K91" s="298"/>
    </row>
    <row r="92" ht="15.75" customHeight="1">
      <c r="A92" s="298"/>
      <c r="B92" s="298"/>
      <c r="C92" s="298"/>
      <c r="D92" s="543"/>
      <c r="E92" s="298"/>
      <c r="F92" s="298"/>
      <c r="G92" s="298"/>
      <c r="H92" s="580"/>
      <c r="I92" s="298"/>
      <c r="J92" s="298"/>
      <c r="K92" s="298"/>
    </row>
    <row r="93" ht="15.75" customHeight="1">
      <c r="A93" s="298"/>
      <c r="B93" s="298"/>
      <c r="C93" s="298"/>
      <c r="D93" s="543"/>
      <c r="E93" s="298"/>
      <c r="F93" s="298"/>
      <c r="G93" s="298"/>
      <c r="H93" s="580"/>
      <c r="I93" s="298"/>
      <c r="J93" s="298"/>
      <c r="K93" s="298"/>
    </row>
    <row r="94" ht="15.75" customHeight="1">
      <c r="A94" s="298"/>
      <c r="B94" s="298"/>
      <c r="C94" s="298"/>
      <c r="D94" s="543"/>
      <c r="E94" s="298"/>
      <c r="F94" s="298"/>
      <c r="G94" s="298"/>
      <c r="H94" s="580"/>
      <c r="I94" s="298"/>
      <c r="J94" s="298"/>
      <c r="K94" s="298"/>
    </row>
    <row r="95" ht="15.75" customHeight="1">
      <c r="A95" s="298"/>
      <c r="B95" s="298"/>
      <c r="C95" s="298"/>
      <c r="D95" s="543"/>
      <c r="E95" s="298"/>
      <c r="F95" s="298"/>
      <c r="G95" s="298"/>
      <c r="H95" s="580"/>
      <c r="I95" s="298"/>
      <c r="J95" s="298"/>
      <c r="K95" s="298"/>
    </row>
    <row r="96" ht="15.75" customHeight="1">
      <c r="A96" s="298"/>
      <c r="B96" s="298"/>
      <c r="C96" s="298"/>
      <c r="D96" s="543"/>
      <c r="E96" s="298"/>
      <c r="F96" s="298"/>
      <c r="G96" s="298"/>
      <c r="H96" s="580"/>
      <c r="I96" s="298"/>
      <c r="J96" s="298"/>
      <c r="K96" s="298"/>
    </row>
    <row r="97" ht="15.75" customHeight="1">
      <c r="A97" s="298"/>
      <c r="B97" s="298"/>
      <c r="C97" s="298"/>
      <c r="D97" s="543"/>
      <c r="E97" s="298"/>
      <c r="F97" s="298"/>
      <c r="G97" s="298"/>
      <c r="H97" s="580"/>
      <c r="I97" s="298"/>
      <c r="J97" s="298"/>
      <c r="K97" s="298"/>
    </row>
    <row r="98" ht="15.75" customHeight="1">
      <c r="A98" s="298"/>
      <c r="B98" s="298"/>
      <c r="C98" s="298"/>
      <c r="D98" s="543"/>
      <c r="E98" s="298"/>
      <c r="F98" s="298"/>
      <c r="G98" s="298"/>
      <c r="H98" s="580"/>
      <c r="I98" s="298"/>
      <c r="J98" s="298"/>
      <c r="K98" s="298"/>
    </row>
    <row r="99" ht="15.75" customHeight="1">
      <c r="A99" s="298"/>
      <c r="B99" s="298"/>
      <c r="C99" s="298"/>
      <c r="D99" s="543"/>
      <c r="E99" s="298"/>
      <c r="F99" s="298"/>
      <c r="G99" s="298"/>
      <c r="H99" s="580"/>
      <c r="I99" s="298"/>
      <c r="J99" s="298"/>
      <c r="K99" s="298"/>
    </row>
    <row r="100" ht="15.75" customHeight="1">
      <c r="A100" s="298"/>
      <c r="B100" s="298"/>
      <c r="C100" s="298"/>
      <c r="D100" s="543"/>
      <c r="E100" s="298"/>
      <c r="F100" s="298"/>
      <c r="G100" s="298"/>
      <c r="H100" s="580"/>
      <c r="I100" s="298"/>
      <c r="J100" s="298"/>
      <c r="K100" s="298"/>
    </row>
    <row r="101" ht="15.75" customHeight="1">
      <c r="A101" s="298"/>
      <c r="B101" s="298"/>
      <c r="C101" s="298"/>
      <c r="D101" s="543"/>
      <c r="E101" s="298"/>
      <c r="F101" s="298"/>
      <c r="G101" s="298"/>
      <c r="H101" s="580"/>
      <c r="I101" s="298"/>
      <c r="J101" s="298"/>
      <c r="K101" s="298"/>
    </row>
    <row r="102" ht="15.75" customHeight="1">
      <c r="A102" s="298"/>
      <c r="B102" s="298"/>
      <c r="C102" s="298"/>
      <c r="D102" s="543"/>
      <c r="E102" s="298"/>
      <c r="F102" s="298"/>
      <c r="G102" s="298"/>
      <c r="H102" s="580"/>
      <c r="I102" s="298"/>
      <c r="J102" s="298"/>
      <c r="K102" s="298"/>
    </row>
    <row r="103" ht="15.75" customHeight="1">
      <c r="A103" s="298"/>
      <c r="B103" s="298"/>
      <c r="C103" s="298"/>
      <c r="D103" s="543"/>
      <c r="E103" s="298"/>
      <c r="F103" s="298"/>
      <c r="G103" s="298"/>
      <c r="H103" s="580"/>
      <c r="I103" s="298"/>
      <c r="J103" s="298"/>
      <c r="K103" s="298"/>
    </row>
    <row r="104" ht="15.75" customHeight="1">
      <c r="A104" s="298"/>
      <c r="B104" s="298"/>
      <c r="C104" s="298"/>
      <c r="D104" s="543"/>
      <c r="E104" s="298"/>
      <c r="F104" s="298"/>
      <c r="G104" s="298"/>
      <c r="H104" s="580"/>
      <c r="I104" s="298"/>
      <c r="J104" s="298"/>
      <c r="K104" s="298"/>
    </row>
    <row r="105" ht="15.75" customHeight="1">
      <c r="A105" s="298"/>
      <c r="B105" s="298"/>
      <c r="C105" s="298"/>
      <c r="D105" s="543"/>
      <c r="E105" s="298"/>
      <c r="F105" s="298"/>
      <c r="G105" s="298"/>
      <c r="H105" s="580"/>
      <c r="I105" s="298"/>
      <c r="J105" s="298"/>
      <c r="K105" s="298"/>
    </row>
    <row r="106" ht="15.75" customHeight="1">
      <c r="A106" s="298"/>
      <c r="B106" s="298"/>
      <c r="C106" s="298"/>
      <c r="D106" s="543"/>
      <c r="E106" s="298"/>
      <c r="F106" s="298"/>
      <c r="G106" s="298"/>
      <c r="H106" s="580"/>
      <c r="I106" s="298"/>
      <c r="J106" s="298"/>
      <c r="K106" s="298"/>
    </row>
    <row r="107" ht="15.75" customHeight="1">
      <c r="A107" s="298"/>
      <c r="B107" s="298"/>
      <c r="C107" s="298"/>
      <c r="D107" s="543"/>
      <c r="E107" s="298"/>
      <c r="F107" s="298"/>
      <c r="G107" s="298"/>
      <c r="H107" s="580"/>
      <c r="I107" s="298"/>
      <c r="J107" s="298"/>
      <c r="K107" s="298"/>
    </row>
    <row r="108" ht="15.75" customHeight="1">
      <c r="A108" s="298"/>
      <c r="B108" s="298"/>
      <c r="C108" s="298"/>
      <c r="D108" s="543"/>
      <c r="E108" s="298"/>
      <c r="F108" s="298"/>
      <c r="G108" s="298"/>
      <c r="H108" s="580"/>
      <c r="I108" s="298"/>
      <c r="J108" s="298"/>
      <c r="K108" s="298"/>
    </row>
    <row r="109" ht="15.75" customHeight="1">
      <c r="A109" s="298"/>
      <c r="B109" s="298"/>
      <c r="C109" s="298"/>
      <c r="D109" s="543"/>
      <c r="E109" s="298"/>
      <c r="F109" s="298"/>
      <c r="G109" s="298"/>
      <c r="H109" s="580"/>
      <c r="I109" s="298"/>
      <c r="J109" s="298"/>
      <c r="K109" s="298"/>
    </row>
    <row r="110" ht="15.75" customHeight="1">
      <c r="A110" s="298"/>
      <c r="B110" s="298"/>
      <c r="C110" s="298"/>
      <c r="D110" s="543"/>
      <c r="E110" s="298"/>
      <c r="F110" s="298"/>
      <c r="G110" s="298"/>
      <c r="H110" s="580"/>
      <c r="I110" s="298"/>
      <c r="J110" s="298"/>
      <c r="K110" s="298"/>
    </row>
    <row r="111" ht="15.75" customHeight="1">
      <c r="A111" s="298"/>
      <c r="B111" s="298"/>
      <c r="C111" s="298"/>
      <c r="D111" s="543"/>
      <c r="E111" s="298"/>
      <c r="F111" s="298"/>
      <c r="G111" s="298"/>
      <c r="H111" s="580"/>
      <c r="I111" s="298"/>
      <c r="J111" s="298"/>
      <c r="K111" s="298"/>
    </row>
    <row r="112" ht="15.75" customHeight="1">
      <c r="A112" s="298"/>
      <c r="B112" s="298"/>
      <c r="C112" s="298"/>
      <c r="D112" s="543"/>
      <c r="E112" s="298"/>
      <c r="F112" s="298"/>
      <c r="G112" s="298"/>
      <c r="H112" s="580"/>
      <c r="I112" s="298"/>
      <c r="J112" s="298"/>
      <c r="K112" s="298"/>
    </row>
    <row r="113" ht="15.75" customHeight="1">
      <c r="A113" s="298"/>
      <c r="B113" s="298"/>
      <c r="C113" s="298"/>
      <c r="D113" s="543"/>
      <c r="E113" s="298"/>
      <c r="F113" s="298"/>
      <c r="G113" s="298"/>
      <c r="H113" s="580"/>
      <c r="I113" s="298"/>
      <c r="J113" s="298"/>
      <c r="K113" s="298"/>
    </row>
    <row r="114" ht="15.75" customHeight="1">
      <c r="A114" s="298"/>
      <c r="B114" s="298"/>
      <c r="C114" s="298"/>
      <c r="D114" s="543"/>
      <c r="E114" s="298"/>
      <c r="F114" s="298"/>
      <c r="G114" s="298"/>
      <c r="H114" s="580"/>
      <c r="I114" s="298"/>
      <c r="J114" s="298"/>
      <c r="K114" s="298"/>
    </row>
    <row r="115" ht="15.75" customHeight="1">
      <c r="A115" s="298"/>
      <c r="B115" s="298"/>
      <c r="C115" s="298"/>
      <c r="D115" s="543"/>
      <c r="E115" s="298"/>
      <c r="F115" s="298"/>
      <c r="G115" s="298"/>
      <c r="H115" s="580"/>
      <c r="I115" s="298"/>
      <c r="J115" s="298"/>
      <c r="K115" s="298"/>
    </row>
    <row r="116" ht="15.75" customHeight="1">
      <c r="A116" s="298"/>
      <c r="B116" s="298"/>
      <c r="C116" s="298"/>
      <c r="D116" s="543"/>
      <c r="E116" s="298"/>
      <c r="F116" s="298"/>
      <c r="G116" s="298"/>
      <c r="H116" s="580"/>
      <c r="I116" s="298"/>
      <c r="J116" s="298"/>
      <c r="K116" s="298"/>
    </row>
    <row r="117" ht="15.75" customHeight="1">
      <c r="A117" s="298"/>
      <c r="B117" s="298"/>
      <c r="C117" s="298"/>
      <c r="D117" s="543"/>
      <c r="E117" s="298"/>
      <c r="F117" s="298"/>
      <c r="G117" s="298"/>
      <c r="H117" s="580"/>
      <c r="I117" s="298"/>
      <c r="J117" s="298"/>
      <c r="K117" s="298"/>
    </row>
    <row r="118" ht="15.75" customHeight="1">
      <c r="A118" s="298"/>
      <c r="B118" s="298"/>
      <c r="C118" s="298"/>
      <c r="D118" s="543"/>
      <c r="E118" s="298"/>
      <c r="F118" s="298"/>
      <c r="G118" s="298"/>
      <c r="H118" s="580"/>
      <c r="I118" s="298"/>
      <c r="J118" s="298"/>
      <c r="K118" s="298"/>
    </row>
    <row r="119" ht="15.75" customHeight="1">
      <c r="A119" s="298"/>
      <c r="B119" s="298"/>
      <c r="C119" s="298"/>
      <c r="D119" s="543"/>
      <c r="E119" s="298"/>
      <c r="F119" s="298"/>
      <c r="G119" s="298"/>
      <c r="H119" s="580"/>
      <c r="I119" s="298"/>
      <c r="J119" s="298"/>
      <c r="K119" s="298"/>
    </row>
    <row r="120" ht="15.75" customHeight="1">
      <c r="A120" s="298"/>
      <c r="B120" s="298"/>
      <c r="C120" s="298"/>
      <c r="D120" s="543"/>
      <c r="E120" s="298"/>
      <c r="F120" s="298"/>
      <c r="G120" s="298"/>
      <c r="H120" s="580"/>
      <c r="I120" s="298"/>
      <c r="J120" s="298"/>
      <c r="K120" s="298"/>
    </row>
    <row r="121" ht="15.75" customHeight="1">
      <c r="A121" s="298"/>
      <c r="B121" s="298"/>
      <c r="C121" s="298"/>
      <c r="D121" s="543"/>
      <c r="E121" s="298"/>
      <c r="F121" s="298"/>
      <c r="G121" s="298"/>
      <c r="H121" s="580"/>
      <c r="I121" s="298"/>
      <c r="J121" s="298"/>
      <c r="K121" s="298"/>
    </row>
    <row r="122" ht="15.75" customHeight="1">
      <c r="A122" s="298"/>
      <c r="B122" s="298"/>
      <c r="C122" s="298"/>
      <c r="D122" s="543"/>
      <c r="E122" s="298"/>
      <c r="F122" s="298"/>
      <c r="G122" s="298"/>
      <c r="H122" s="580"/>
      <c r="I122" s="298"/>
      <c r="J122" s="298"/>
      <c r="K122" s="298"/>
    </row>
    <row r="123" ht="15.75" customHeight="1">
      <c r="A123" s="298"/>
      <c r="B123" s="298"/>
      <c r="C123" s="298"/>
      <c r="D123" s="543"/>
      <c r="E123" s="298"/>
      <c r="F123" s="298"/>
      <c r="G123" s="298"/>
      <c r="H123" s="580"/>
      <c r="I123" s="298"/>
      <c r="J123" s="298"/>
      <c r="K123" s="298"/>
    </row>
    <row r="124" ht="15.75" customHeight="1">
      <c r="A124" s="298"/>
      <c r="B124" s="298"/>
      <c r="C124" s="298"/>
      <c r="D124" s="543"/>
      <c r="E124" s="298"/>
      <c r="F124" s="298"/>
      <c r="G124" s="298"/>
      <c r="H124" s="580"/>
      <c r="I124" s="298"/>
      <c r="J124" s="298"/>
      <c r="K124" s="298"/>
    </row>
    <row r="125" ht="15.75" customHeight="1">
      <c r="A125" s="298"/>
      <c r="B125" s="298"/>
      <c r="C125" s="298"/>
      <c r="D125" s="543"/>
      <c r="E125" s="298"/>
      <c r="F125" s="298"/>
      <c r="G125" s="298"/>
      <c r="H125" s="580"/>
      <c r="I125" s="298"/>
      <c r="J125" s="298"/>
      <c r="K125" s="298"/>
    </row>
    <row r="126" ht="15.75" customHeight="1">
      <c r="A126" s="298"/>
      <c r="B126" s="298"/>
      <c r="C126" s="298"/>
      <c r="D126" s="543"/>
      <c r="E126" s="298"/>
      <c r="F126" s="298"/>
      <c r="G126" s="298"/>
      <c r="H126" s="580"/>
      <c r="I126" s="298"/>
      <c r="J126" s="298"/>
      <c r="K126" s="298"/>
    </row>
    <row r="127" ht="15.75" customHeight="1">
      <c r="A127" s="298"/>
      <c r="B127" s="298"/>
      <c r="C127" s="298"/>
      <c r="D127" s="543"/>
      <c r="E127" s="298"/>
      <c r="F127" s="298"/>
      <c r="G127" s="298"/>
      <c r="H127" s="580"/>
      <c r="I127" s="298"/>
      <c r="J127" s="298"/>
      <c r="K127" s="298"/>
    </row>
    <row r="128" ht="15.75" customHeight="1">
      <c r="A128" s="298"/>
      <c r="B128" s="298"/>
      <c r="C128" s="298"/>
      <c r="D128" s="543"/>
      <c r="E128" s="298"/>
      <c r="F128" s="298"/>
      <c r="G128" s="298"/>
      <c r="H128" s="580"/>
      <c r="I128" s="298"/>
      <c r="J128" s="298"/>
      <c r="K128" s="298"/>
    </row>
    <row r="129" ht="15.75" customHeight="1">
      <c r="A129" s="298"/>
      <c r="B129" s="298"/>
      <c r="C129" s="298"/>
      <c r="D129" s="543"/>
      <c r="E129" s="298"/>
      <c r="F129" s="298"/>
      <c r="G129" s="298"/>
      <c r="H129" s="580"/>
      <c r="I129" s="298"/>
      <c r="J129" s="298"/>
      <c r="K129" s="298"/>
    </row>
    <row r="130" ht="15.75" customHeight="1">
      <c r="A130" s="298"/>
      <c r="B130" s="298"/>
      <c r="C130" s="298"/>
      <c r="D130" s="543"/>
      <c r="E130" s="298"/>
      <c r="F130" s="298"/>
      <c r="G130" s="298"/>
      <c r="H130" s="580"/>
      <c r="I130" s="298"/>
      <c r="J130" s="298"/>
      <c r="K130" s="298"/>
    </row>
    <row r="131" ht="15.75" customHeight="1">
      <c r="A131" s="298"/>
      <c r="B131" s="298"/>
      <c r="C131" s="298"/>
      <c r="D131" s="543"/>
      <c r="E131" s="298"/>
      <c r="F131" s="298"/>
      <c r="G131" s="298"/>
      <c r="H131" s="580"/>
      <c r="I131" s="298"/>
      <c r="J131" s="298"/>
      <c r="K131" s="298"/>
    </row>
    <row r="132" ht="15.75" customHeight="1">
      <c r="A132" s="298"/>
      <c r="B132" s="298"/>
      <c r="C132" s="298"/>
      <c r="D132" s="543"/>
      <c r="E132" s="298"/>
      <c r="F132" s="298"/>
      <c r="G132" s="298"/>
      <c r="H132" s="580"/>
      <c r="I132" s="298"/>
      <c r="J132" s="298"/>
      <c r="K132" s="298"/>
    </row>
    <row r="133" ht="15.75" customHeight="1">
      <c r="A133" s="298"/>
      <c r="B133" s="298"/>
      <c r="C133" s="298"/>
      <c r="D133" s="543"/>
      <c r="E133" s="298"/>
      <c r="F133" s="298"/>
      <c r="G133" s="298"/>
      <c r="H133" s="580"/>
      <c r="I133" s="298"/>
      <c r="J133" s="298"/>
      <c r="K133" s="298"/>
    </row>
    <row r="134" ht="15.75" customHeight="1">
      <c r="A134" s="298"/>
      <c r="B134" s="298"/>
      <c r="C134" s="298"/>
      <c r="D134" s="543"/>
      <c r="E134" s="298"/>
      <c r="F134" s="298"/>
      <c r="G134" s="298"/>
      <c r="H134" s="580"/>
      <c r="I134" s="298"/>
      <c r="J134" s="298"/>
      <c r="K134" s="298"/>
    </row>
    <row r="135" ht="15.75" customHeight="1">
      <c r="A135" s="298"/>
      <c r="B135" s="298"/>
      <c r="C135" s="298"/>
      <c r="D135" s="543"/>
      <c r="E135" s="298"/>
      <c r="F135" s="298"/>
      <c r="G135" s="298"/>
      <c r="H135" s="580"/>
      <c r="I135" s="298"/>
      <c r="J135" s="298"/>
      <c r="K135" s="298"/>
    </row>
    <row r="136" ht="15.75" customHeight="1">
      <c r="A136" s="298"/>
      <c r="B136" s="298"/>
      <c r="C136" s="298"/>
      <c r="D136" s="543"/>
      <c r="E136" s="298"/>
      <c r="F136" s="298"/>
      <c r="G136" s="298"/>
      <c r="H136" s="580"/>
      <c r="I136" s="298"/>
      <c r="J136" s="298"/>
      <c r="K136" s="298"/>
    </row>
    <row r="137" ht="15.75" customHeight="1">
      <c r="A137" s="298"/>
      <c r="B137" s="298"/>
      <c r="C137" s="298"/>
      <c r="D137" s="543"/>
      <c r="E137" s="298"/>
      <c r="F137" s="298"/>
      <c r="G137" s="298"/>
      <c r="H137" s="580"/>
      <c r="I137" s="298"/>
      <c r="J137" s="298"/>
      <c r="K137" s="298"/>
    </row>
    <row r="138" ht="15.75" customHeight="1">
      <c r="A138" s="298"/>
      <c r="B138" s="298"/>
      <c r="C138" s="298"/>
      <c r="D138" s="543"/>
      <c r="E138" s="298"/>
      <c r="F138" s="298"/>
      <c r="G138" s="298"/>
      <c r="H138" s="580"/>
      <c r="I138" s="298"/>
      <c r="J138" s="298"/>
      <c r="K138" s="298"/>
    </row>
    <row r="139" ht="15.75" customHeight="1">
      <c r="A139" s="298"/>
      <c r="B139" s="298"/>
      <c r="C139" s="298"/>
      <c r="D139" s="543"/>
      <c r="E139" s="298"/>
      <c r="F139" s="298"/>
      <c r="G139" s="298"/>
      <c r="H139" s="580"/>
      <c r="I139" s="298"/>
      <c r="J139" s="298"/>
      <c r="K139" s="298"/>
    </row>
    <row r="140" ht="15.75" customHeight="1">
      <c r="A140" s="298"/>
      <c r="B140" s="298"/>
      <c r="C140" s="298"/>
      <c r="D140" s="543"/>
      <c r="E140" s="298"/>
      <c r="F140" s="298"/>
      <c r="G140" s="298"/>
      <c r="H140" s="580"/>
      <c r="I140" s="298"/>
      <c r="J140" s="298"/>
      <c r="K140" s="298"/>
    </row>
    <row r="141" ht="15.75" customHeight="1">
      <c r="A141" s="298"/>
      <c r="B141" s="298"/>
      <c r="C141" s="298"/>
      <c r="D141" s="543"/>
      <c r="E141" s="298"/>
      <c r="F141" s="298"/>
      <c r="G141" s="298"/>
      <c r="H141" s="580"/>
      <c r="I141" s="298"/>
      <c r="J141" s="298"/>
      <c r="K141" s="298"/>
    </row>
    <row r="142" ht="15.75" customHeight="1">
      <c r="A142" s="298"/>
      <c r="B142" s="298"/>
      <c r="C142" s="298"/>
      <c r="D142" s="543"/>
      <c r="E142" s="298"/>
      <c r="F142" s="298"/>
      <c r="G142" s="298"/>
      <c r="H142" s="580"/>
      <c r="I142" s="298"/>
      <c r="J142" s="298"/>
      <c r="K142" s="298"/>
    </row>
    <row r="143" ht="15.75" customHeight="1">
      <c r="A143" s="298"/>
      <c r="B143" s="298"/>
      <c r="C143" s="298"/>
      <c r="D143" s="543"/>
      <c r="E143" s="298"/>
      <c r="F143" s="298"/>
      <c r="G143" s="298"/>
      <c r="H143" s="580"/>
      <c r="I143" s="298"/>
      <c r="J143" s="298"/>
      <c r="K143" s="298"/>
    </row>
    <row r="144" ht="15.75" customHeight="1">
      <c r="A144" s="298"/>
      <c r="B144" s="298"/>
      <c r="C144" s="298"/>
      <c r="D144" s="543"/>
      <c r="E144" s="298"/>
      <c r="F144" s="298"/>
      <c r="G144" s="298"/>
      <c r="H144" s="580"/>
      <c r="I144" s="298"/>
      <c r="J144" s="298"/>
      <c r="K144" s="298"/>
    </row>
    <row r="145" ht="15.75" customHeight="1">
      <c r="A145" s="298"/>
      <c r="B145" s="298"/>
      <c r="C145" s="298"/>
      <c r="D145" s="543"/>
      <c r="E145" s="298"/>
      <c r="F145" s="298"/>
      <c r="G145" s="298"/>
      <c r="H145" s="580"/>
      <c r="I145" s="298"/>
      <c r="J145" s="298"/>
      <c r="K145" s="298"/>
    </row>
    <row r="146" ht="15.75" customHeight="1">
      <c r="A146" s="298"/>
      <c r="B146" s="298"/>
      <c r="C146" s="298"/>
      <c r="D146" s="543"/>
      <c r="E146" s="298"/>
      <c r="F146" s="298"/>
      <c r="G146" s="298"/>
      <c r="H146" s="580"/>
      <c r="I146" s="298"/>
      <c r="J146" s="298"/>
      <c r="K146" s="298"/>
    </row>
    <row r="147" ht="15.75" customHeight="1">
      <c r="A147" s="298"/>
      <c r="B147" s="298"/>
      <c r="C147" s="298"/>
      <c r="D147" s="543"/>
      <c r="E147" s="298"/>
      <c r="F147" s="298"/>
      <c r="G147" s="298"/>
      <c r="H147" s="580"/>
      <c r="I147" s="298"/>
      <c r="J147" s="298"/>
      <c r="K147" s="298"/>
    </row>
    <row r="148" ht="15.75" customHeight="1">
      <c r="A148" s="298"/>
      <c r="B148" s="298"/>
      <c r="C148" s="298"/>
      <c r="D148" s="543"/>
      <c r="E148" s="298"/>
      <c r="F148" s="298"/>
      <c r="G148" s="298"/>
      <c r="H148" s="580"/>
      <c r="I148" s="298"/>
      <c r="J148" s="298"/>
      <c r="K148" s="298"/>
    </row>
    <row r="149" ht="15.75" customHeight="1">
      <c r="A149" s="298"/>
      <c r="B149" s="298"/>
      <c r="C149" s="298"/>
      <c r="D149" s="543"/>
      <c r="E149" s="298"/>
      <c r="F149" s="298"/>
      <c r="G149" s="298"/>
      <c r="H149" s="580"/>
      <c r="I149" s="298"/>
      <c r="J149" s="298"/>
      <c r="K149" s="298"/>
    </row>
    <row r="150" ht="15.75" customHeight="1">
      <c r="A150" s="298"/>
      <c r="B150" s="298"/>
      <c r="C150" s="298"/>
      <c r="D150" s="543"/>
      <c r="E150" s="298"/>
      <c r="F150" s="298"/>
      <c r="G150" s="298"/>
      <c r="H150" s="580"/>
      <c r="I150" s="298"/>
      <c r="J150" s="298"/>
      <c r="K150" s="298"/>
    </row>
    <row r="151" ht="15.75" customHeight="1">
      <c r="A151" s="298"/>
      <c r="B151" s="298"/>
      <c r="C151" s="298"/>
      <c r="D151" s="543"/>
      <c r="E151" s="298"/>
      <c r="F151" s="298"/>
      <c r="G151" s="298"/>
      <c r="H151" s="580"/>
      <c r="I151" s="298"/>
      <c r="J151" s="298"/>
      <c r="K151" s="298"/>
    </row>
    <row r="152" ht="15.75" customHeight="1">
      <c r="A152" s="298"/>
      <c r="B152" s="298"/>
      <c r="C152" s="298"/>
      <c r="D152" s="543"/>
      <c r="E152" s="298"/>
      <c r="F152" s="298"/>
      <c r="G152" s="298"/>
      <c r="H152" s="580"/>
      <c r="I152" s="298"/>
      <c r="J152" s="298"/>
      <c r="K152" s="298"/>
    </row>
    <row r="153" ht="15.75" customHeight="1">
      <c r="A153" s="298"/>
      <c r="B153" s="298"/>
      <c r="C153" s="298"/>
      <c r="D153" s="543"/>
      <c r="E153" s="298"/>
      <c r="F153" s="298"/>
      <c r="G153" s="298"/>
      <c r="H153" s="580"/>
      <c r="I153" s="298"/>
      <c r="J153" s="298"/>
      <c r="K153" s="298"/>
    </row>
    <row r="154" ht="15.75" customHeight="1">
      <c r="A154" s="298"/>
      <c r="B154" s="298"/>
      <c r="C154" s="298"/>
      <c r="D154" s="543"/>
      <c r="E154" s="298"/>
      <c r="F154" s="298"/>
      <c r="G154" s="298"/>
      <c r="H154" s="580"/>
      <c r="I154" s="298"/>
      <c r="J154" s="298"/>
      <c r="K154" s="298"/>
    </row>
    <row r="155" ht="15.75" customHeight="1">
      <c r="A155" s="298"/>
      <c r="B155" s="298"/>
      <c r="C155" s="298"/>
      <c r="D155" s="543"/>
      <c r="E155" s="298"/>
      <c r="F155" s="298"/>
      <c r="G155" s="298"/>
      <c r="H155" s="580"/>
      <c r="I155" s="298"/>
      <c r="J155" s="298"/>
      <c r="K155" s="298"/>
    </row>
    <row r="156" ht="15.75" customHeight="1">
      <c r="A156" s="298"/>
      <c r="B156" s="298"/>
      <c r="C156" s="298"/>
      <c r="D156" s="543"/>
      <c r="E156" s="298"/>
      <c r="F156" s="298"/>
      <c r="G156" s="298"/>
      <c r="H156" s="580"/>
      <c r="I156" s="298"/>
      <c r="J156" s="298"/>
      <c r="K156" s="298"/>
    </row>
    <row r="157" ht="15.75" customHeight="1">
      <c r="A157" s="298"/>
      <c r="B157" s="298"/>
      <c r="C157" s="298"/>
      <c r="D157" s="543"/>
      <c r="E157" s="298"/>
      <c r="F157" s="298"/>
      <c r="G157" s="298"/>
      <c r="H157" s="580"/>
      <c r="I157" s="298"/>
      <c r="J157" s="298"/>
      <c r="K157" s="298"/>
    </row>
    <row r="158" ht="15.75" customHeight="1">
      <c r="A158" s="298"/>
      <c r="B158" s="298"/>
      <c r="C158" s="298"/>
      <c r="D158" s="543"/>
      <c r="E158" s="298"/>
      <c r="F158" s="298"/>
      <c r="G158" s="298"/>
      <c r="H158" s="580"/>
      <c r="I158" s="298"/>
      <c r="J158" s="298"/>
      <c r="K158" s="298"/>
    </row>
    <row r="159" ht="15.75" customHeight="1">
      <c r="A159" s="298"/>
      <c r="B159" s="298"/>
      <c r="C159" s="298"/>
      <c r="D159" s="543"/>
      <c r="E159" s="298"/>
      <c r="F159" s="298"/>
      <c r="G159" s="298"/>
      <c r="H159" s="580"/>
      <c r="I159" s="298"/>
      <c r="J159" s="298"/>
      <c r="K159" s="298"/>
    </row>
    <row r="160" ht="15.75" customHeight="1">
      <c r="A160" s="298"/>
      <c r="B160" s="298"/>
      <c r="C160" s="298"/>
      <c r="D160" s="543"/>
      <c r="E160" s="298"/>
      <c r="F160" s="298"/>
      <c r="G160" s="298"/>
      <c r="H160" s="580"/>
      <c r="I160" s="298"/>
      <c r="J160" s="298"/>
      <c r="K160" s="298"/>
    </row>
    <row r="161" ht="15.75" customHeight="1">
      <c r="A161" s="298"/>
      <c r="B161" s="298"/>
      <c r="C161" s="298"/>
      <c r="D161" s="543"/>
      <c r="E161" s="298"/>
      <c r="F161" s="298"/>
      <c r="G161" s="298"/>
      <c r="H161" s="580"/>
      <c r="I161" s="298"/>
      <c r="J161" s="298"/>
      <c r="K161" s="298"/>
    </row>
    <row r="162" ht="15.75" customHeight="1">
      <c r="A162" s="298"/>
      <c r="B162" s="298"/>
      <c r="C162" s="298"/>
      <c r="D162" s="543"/>
      <c r="E162" s="298"/>
      <c r="F162" s="298"/>
      <c r="G162" s="298"/>
      <c r="H162" s="580"/>
      <c r="I162" s="298"/>
      <c r="J162" s="298"/>
      <c r="K162" s="298"/>
    </row>
    <row r="163" ht="15.75" customHeight="1">
      <c r="A163" s="298"/>
      <c r="B163" s="298"/>
      <c r="C163" s="298"/>
      <c r="D163" s="543"/>
      <c r="E163" s="298"/>
      <c r="F163" s="298"/>
      <c r="G163" s="298"/>
      <c r="H163" s="580"/>
      <c r="I163" s="298"/>
      <c r="J163" s="298"/>
      <c r="K163" s="298"/>
    </row>
    <row r="164" ht="15.75" customHeight="1">
      <c r="A164" s="298"/>
      <c r="B164" s="298"/>
      <c r="C164" s="298"/>
      <c r="D164" s="543"/>
      <c r="E164" s="298"/>
      <c r="F164" s="298"/>
      <c r="G164" s="298"/>
      <c r="H164" s="580"/>
      <c r="I164" s="298"/>
      <c r="J164" s="298"/>
      <c r="K164" s="298"/>
    </row>
    <row r="165" ht="15.75" customHeight="1">
      <c r="A165" s="298"/>
      <c r="B165" s="298"/>
      <c r="C165" s="298"/>
      <c r="D165" s="543"/>
      <c r="E165" s="298"/>
      <c r="F165" s="298"/>
      <c r="G165" s="298"/>
      <c r="H165" s="580"/>
      <c r="I165" s="298"/>
      <c r="J165" s="298"/>
      <c r="K165" s="298"/>
    </row>
    <row r="166" ht="15.75" customHeight="1">
      <c r="A166" s="298"/>
      <c r="B166" s="298"/>
      <c r="C166" s="298"/>
      <c r="D166" s="543"/>
      <c r="E166" s="298"/>
      <c r="F166" s="298"/>
      <c r="G166" s="298"/>
      <c r="H166" s="580"/>
      <c r="I166" s="298"/>
      <c r="J166" s="298"/>
      <c r="K166" s="298"/>
    </row>
    <row r="167" ht="15.75" customHeight="1">
      <c r="A167" s="298"/>
      <c r="B167" s="298"/>
      <c r="C167" s="298"/>
      <c r="D167" s="543"/>
      <c r="E167" s="298"/>
      <c r="F167" s="298"/>
      <c r="G167" s="298"/>
      <c r="H167" s="580"/>
      <c r="I167" s="298"/>
      <c r="J167" s="298"/>
      <c r="K167" s="298"/>
    </row>
    <row r="168" ht="15.75" customHeight="1">
      <c r="A168" s="298"/>
      <c r="B168" s="298"/>
      <c r="C168" s="298"/>
      <c r="D168" s="543"/>
      <c r="E168" s="298"/>
      <c r="F168" s="298"/>
      <c r="G168" s="298"/>
      <c r="H168" s="580"/>
      <c r="I168" s="298"/>
      <c r="J168" s="298"/>
      <c r="K168" s="298"/>
    </row>
    <row r="169" ht="15.75" customHeight="1">
      <c r="A169" s="298"/>
      <c r="B169" s="298"/>
      <c r="C169" s="298"/>
      <c r="D169" s="543"/>
      <c r="E169" s="298"/>
      <c r="F169" s="298"/>
      <c r="G169" s="298"/>
      <c r="H169" s="580"/>
      <c r="I169" s="298"/>
      <c r="J169" s="298"/>
      <c r="K169" s="298"/>
    </row>
    <row r="170" ht="15.75" customHeight="1">
      <c r="A170" s="298"/>
      <c r="B170" s="298"/>
      <c r="C170" s="298"/>
      <c r="D170" s="543"/>
      <c r="E170" s="298"/>
      <c r="F170" s="298"/>
      <c r="G170" s="298"/>
      <c r="H170" s="580"/>
      <c r="I170" s="298"/>
      <c r="J170" s="298"/>
      <c r="K170" s="298"/>
    </row>
    <row r="171" ht="15.75" customHeight="1">
      <c r="A171" s="298"/>
      <c r="B171" s="298"/>
      <c r="C171" s="298"/>
      <c r="D171" s="543"/>
      <c r="E171" s="298"/>
      <c r="F171" s="298"/>
      <c r="G171" s="298"/>
      <c r="H171" s="580"/>
      <c r="I171" s="298"/>
      <c r="J171" s="298"/>
      <c r="K171" s="298"/>
    </row>
    <row r="172" ht="15.75" customHeight="1">
      <c r="A172" s="298"/>
      <c r="B172" s="298"/>
      <c r="C172" s="298"/>
      <c r="D172" s="543"/>
      <c r="E172" s="298"/>
      <c r="F172" s="298"/>
      <c r="G172" s="298"/>
      <c r="H172" s="580"/>
      <c r="I172" s="298"/>
      <c r="J172" s="298"/>
      <c r="K172" s="298"/>
    </row>
    <row r="173" ht="15.75" customHeight="1">
      <c r="A173" s="298"/>
      <c r="B173" s="298"/>
      <c r="C173" s="298"/>
      <c r="D173" s="543"/>
      <c r="E173" s="298"/>
      <c r="F173" s="298"/>
      <c r="G173" s="298"/>
      <c r="H173" s="580"/>
      <c r="I173" s="298"/>
      <c r="J173" s="298"/>
      <c r="K173" s="298"/>
    </row>
    <row r="174" ht="15.75" customHeight="1">
      <c r="A174" s="298"/>
      <c r="B174" s="298"/>
      <c r="C174" s="298"/>
      <c r="D174" s="543"/>
      <c r="E174" s="298"/>
      <c r="F174" s="298"/>
      <c r="G174" s="298"/>
      <c r="H174" s="580"/>
      <c r="I174" s="298"/>
      <c r="J174" s="298"/>
      <c r="K174" s="298"/>
    </row>
    <row r="175" ht="15.75" customHeight="1">
      <c r="A175" s="298"/>
      <c r="B175" s="298"/>
      <c r="C175" s="298"/>
      <c r="D175" s="543"/>
      <c r="E175" s="298"/>
      <c r="F175" s="298"/>
      <c r="G175" s="298"/>
      <c r="H175" s="580"/>
      <c r="I175" s="298"/>
      <c r="J175" s="298"/>
      <c r="K175" s="298"/>
    </row>
    <row r="176" ht="15.75" customHeight="1">
      <c r="A176" s="298"/>
      <c r="B176" s="298"/>
      <c r="C176" s="298"/>
      <c r="D176" s="543"/>
      <c r="E176" s="298"/>
      <c r="F176" s="298"/>
      <c r="G176" s="298"/>
      <c r="H176" s="580"/>
      <c r="I176" s="298"/>
      <c r="J176" s="298"/>
      <c r="K176" s="298"/>
    </row>
    <row r="177" ht="15.75" customHeight="1">
      <c r="A177" s="298"/>
      <c r="B177" s="298"/>
      <c r="C177" s="298"/>
      <c r="D177" s="543"/>
      <c r="E177" s="298"/>
      <c r="F177" s="298"/>
      <c r="G177" s="298"/>
      <c r="H177" s="580"/>
      <c r="I177" s="298"/>
      <c r="J177" s="298"/>
      <c r="K177" s="298"/>
    </row>
    <row r="178" ht="15.75" customHeight="1">
      <c r="A178" s="298"/>
      <c r="B178" s="298"/>
      <c r="C178" s="298"/>
      <c r="D178" s="543"/>
      <c r="E178" s="298"/>
      <c r="F178" s="298"/>
      <c r="G178" s="298"/>
      <c r="H178" s="580"/>
      <c r="I178" s="298"/>
      <c r="J178" s="298"/>
      <c r="K178" s="298"/>
    </row>
    <row r="179" ht="15.75" customHeight="1">
      <c r="A179" s="298"/>
      <c r="B179" s="298"/>
      <c r="C179" s="298"/>
      <c r="D179" s="543"/>
      <c r="E179" s="298"/>
      <c r="F179" s="298"/>
      <c r="G179" s="298"/>
      <c r="H179" s="580"/>
      <c r="I179" s="298"/>
      <c r="J179" s="298"/>
      <c r="K179" s="298"/>
    </row>
    <row r="180" ht="15.75" customHeight="1">
      <c r="A180" s="298"/>
      <c r="B180" s="298"/>
      <c r="C180" s="298"/>
      <c r="D180" s="543"/>
      <c r="E180" s="298"/>
      <c r="F180" s="298"/>
      <c r="G180" s="298"/>
      <c r="H180" s="580"/>
      <c r="I180" s="298"/>
      <c r="J180" s="298"/>
      <c r="K180" s="298"/>
    </row>
    <row r="181" ht="15.75" customHeight="1">
      <c r="A181" s="298"/>
      <c r="B181" s="298"/>
      <c r="C181" s="298"/>
      <c r="D181" s="543"/>
      <c r="E181" s="298"/>
      <c r="F181" s="298"/>
      <c r="G181" s="298"/>
      <c r="H181" s="580"/>
      <c r="I181" s="298"/>
      <c r="J181" s="298"/>
      <c r="K181" s="298"/>
    </row>
    <row r="182" ht="15.75" customHeight="1">
      <c r="A182" s="298"/>
      <c r="B182" s="298"/>
      <c r="C182" s="298"/>
      <c r="D182" s="543"/>
      <c r="E182" s="298"/>
      <c r="F182" s="298"/>
      <c r="G182" s="298"/>
      <c r="H182" s="580"/>
      <c r="I182" s="298"/>
      <c r="J182" s="298"/>
      <c r="K182" s="298"/>
    </row>
    <row r="183" ht="15.75" customHeight="1">
      <c r="A183" s="298"/>
      <c r="B183" s="298"/>
      <c r="C183" s="298"/>
      <c r="D183" s="543"/>
      <c r="E183" s="298"/>
      <c r="F183" s="298"/>
      <c r="G183" s="298"/>
      <c r="H183" s="580"/>
      <c r="I183" s="298"/>
      <c r="J183" s="298"/>
      <c r="K183" s="298"/>
    </row>
    <row r="184" ht="15.75" customHeight="1">
      <c r="A184" s="298"/>
      <c r="B184" s="298"/>
      <c r="C184" s="298"/>
      <c r="D184" s="543"/>
      <c r="E184" s="298"/>
      <c r="F184" s="298"/>
      <c r="G184" s="298"/>
      <c r="H184" s="580"/>
      <c r="I184" s="298"/>
      <c r="J184" s="298"/>
      <c r="K184" s="298"/>
    </row>
    <row r="185" ht="15.75" customHeight="1">
      <c r="A185" s="298"/>
      <c r="B185" s="298"/>
      <c r="C185" s="298"/>
      <c r="D185" s="543"/>
      <c r="E185" s="298"/>
      <c r="F185" s="298"/>
      <c r="G185" s="298"/>
      <c r="H185" s="580"/>
      <c r="I185" s="298"/>
      <c r="J185" s="298"/>
      <c r="K185" s="298"/>
    </row>
    <row r="186" ht="15.75" customHeight="1">
      <c r="A186" s="298"/>
      <c r="B186" s="298"/>
      <c r="C186" s="298"/>
      <c r="D186" s="543"/>
      <c r="E186" s="298"/>
      <c r="F186" s="298"/>
      <c r="G186" s="298"/>
      <c r="H186" s="580"/>
      <c r="I186" s="298"/>
      <c r="J186" s="298"/>
      <c r="K186" s="298"/>
    </row>
    <row r="187" ht="15.75" customHeight="1">
      <c r="A187" s="298"/>
      <c r="B187" s="298"/>
      <c r="C187" s="298"/>
      <c r="D187" s="543"/>
      <c r="E187" s="298"/>
      <c r="F187" s="298"/>
      <c r="G187" s="298"/>
      <c r="H187" s="580"/>
      <c r="I187" s="298"/>
      <c r="J187" s="298"/>
      <c r="K187" s="298"/>
    </row>
    <row r="188" ht="15.75" customHeight="1">
      <c r="A188" s="298"/>
      <c r="B188" s="298"/>
      <c r="C188" s="298"/>
      <c r="D188" s="543"/>
      <c r="E188" s="298"/>
      <c r="F188" s="298"/>
      <c r="G188" s="298"/>
      <c r="H188" s="580"/>
      <c r="I188" s="298"/>
      <c r="J188" s="298"/>
      <c r="K188" s="298"/>
    </row>
    <row r="189" ht="15.75" customHeight="1">
      <c r="A189" s="298"/>
      <c r="B189" s="298"/>
      <c r="C189" s="298"/>
      <c r="D189" s="543"/>
      <c r="E189" s="298"/>
      <c r="F189" s="298"/>
      <c r="G189" s="298"/>
      <c r="H189" s="580"/>
      <c r="I189" s="298"/>
      <c r="J189" s="298"/>
      <c r="K189" s="298"/>
    </row>
    <row r="190" ht="15.75" customHeight="1">
      <c r="A190" s="298"/>
      <c r="B190" s="298"/>
      <c r="C190" s="298"/>
      <c r="D190" s="543"/>
      <c r="E190" s="298"/>
      <c r="F190" s="298"/>
      <c r="G190" s="298"/>
      <c r="H190" s="580"/>
      <c r="I190" s="298"/>
      <c r="J190" s="298"/>
      <c r="K190" s="298"/>
    </row>
    <row r="191" ht="15.75" customHeight="1">
      <c r="A191" s="298"/>
      <c r="B191" s="298"/>
      <c r="C191" s="298"/>
      <c r="D191" s="543"/>
      <c r="E191" s="298"/>
      <c r="F191" s="298"/>
      <c r="G191" s="298"/>
      <c r="H191" s="580"/>
      <c r="I191" s="298"/>
      <c r="J191" s="298"/>
      <c r="K191" s="298"/>
    </row>
    <row r="192" ht="15.75" customHeight="1">
      <c r="A192" s="298"/>
      <c r="B192" s="298"/>
      <c r="C192" s="298"/>
      <c r="D192" s="543"/>
      <c r="E192" s="298"/>
      <c r="F192" s="298"/>
      <c r="G192" s="298"/>
      <c r="H192" s="580"/>
      <c r="I192" s="298"/>
      <c r="J192" s="298"/>
      <c r="K192" s="298"/>
    </row>
    <row r="193" ht="15.75" customHeight="1">
      <c r="A193" s="298"/>
      <c r="B193" s="298"/>
      <c r="C193" s="298"/>
      <c r="D193" s="543"/>
      <c r="E193" s="298"/>
      <c r="F193" s="298"/>
      <c r="G193" s="298"/>
      <c r="H193" s="580"/>
      <c r="I193" s="298"/>
      <c r="J193" s="298"/>
      <c r="K193" s="298"/>
    </row>
    <row r="194" ht="15.75" customHeight="1">
      <c r="A194" s="298"/>
      <c r="B194" s="298"/>
      <c r="C194" s="298"/>
      <c r="D194" s="543"/>
      <c r="E194" s="298"/>
      <c r="F194" s="298"/>
      <c r="G194" s="298"/>
      <c r="H194" s="580"/>
      <c r="I194" s="298"/>
      <c r="J194" s="298"/>
      <c r="K194" s="298"/>
    </row>
    <row r="195" ht="15.75" customHeight="1">
      <c r="A195" s="298"/>
      <c r="B195" s="298"/>
      <c r="C195" s="298"/>
      <c r="D195" s="543"/>
      <c r="E195" s="298"/>
      <c r="F195" s="298"/>
      <c r="G195" s="298"/>
      <c r="H195" s="580"/>
      <c r="I195" s="298"/>
      <c r="J195" s="298"/>
      <c r="K195" s="298"/>
    </row>
    <row r="196" ht="15.75" customHeight="1">
      <c r="A196" s="298"/>
      <c r="B196" s="298"/>
      <c r="C196" s="298"/>
      <c r="D196" s="543"/>
      <c r="E196" s="298"/>
      <c r="F196" s="298"/>
      <c r="G196" s="298"/>
      <c r="H196" s="580"/>
      <c r="I196" s="298"/>
      <c r="J196" s="298"/>
      <c r="K196" s="298"/>
    </row>
    <row r="197" ht="15.75" customHeight="1">
      <c r="A197" s="298"/>
      <c r="B197" s="298"/>
      <c r="C197" s="298"/>
      <c r="D197" s="543"/>
      <c r="E197" s="298"/>
      <c r="F197" s="298"/>
      <c r="G197" s="298"/>
      <c r="H197" s="580"/>
      <c r="I197" s="298"/>
      <c r="J197" s="298"/>
      <c r="K197" s="298"/>
    </row>
    <row r="198" ht="15.75" customHeight="1">
      <c r="A198" s="298"/>
      <c r="B198" s="298"/>
      <c r="C198" s="298"/>
      <c r="D198" s="543"/>
      <c r="E198" s="298"/>
      <c r="F198" s="298"/>
      <c r="G198" s="298"/>
      <c r="H198" s="580"/>
      <c r="I198" s="298"/>
      <c r="J198" s="298"/>
      <c r="K198" s="298"/>
    </row>
    <row r="199" ht="15.75" customHeight="1">
      <c r="A199" s="298"/>
      <c r="B199" s="298"/>
      <c r="C199" s="298"/>
      <c r="D199" s="543"/>
      <c r="E199" s="298"/>
      <c r="F199" s="298"/>
      <c r="G199" s="298"/>
      <c r="H199" s="580"/>
      <c r="I199" s="298"/>
      <c r="J199" s="298"/>
      <c r="K199" s="298"/>
    </row>
    <row r="200" ht="15.75" customHeight="1">
      <c r="A200" s="298"/>
      <c r="B200" s="298"/>
      <c r="C200" s="298"/>
      <c r="D200" s="543"/>
      <c r="E200" s="298"/>
      <c r="F200" s="298"/>
      <c r="G200" s="298"/>
      <c r="H200" s="580"/>
      <c r="I200" s="298"/>
      <c r="J200" s="298"/>
      <c r="K200" s="298"/>
    </row>
    <row r="201" ht="15.75" customHeight="1">
      <c r="A201" s="298"/>
      <c r="B201" s="298"/>
      <c r="C201" s="298"/>
      <c r="D201" s="543"/>
      <c r="E201" s="298"/>
      <c r="F201" s="298"/>
      <c r="G201" s="298"/>
      <c r="H201" s="580"/>
      <c r="I201" s="298"/>
      <c r="J201" s="298"/>
      <c r="K201" s="298"/>
    </row>
    <row r="202" ht="15.75" customHeight="1">
      <c r="A202" s="298"/>
      <c r="B202" s="298"/>
      <c r="C202" s="298"/>
      <c r="D202" s="543"/>
      <c r="E202" s="298"/>
      <c r="F202" s="298"/>
      <c r="G202" s="298"/>
      <c r="H202" s="580"/>
      <c r="I202" s="298"/>
      <c r="J202" s="298"/>
      <c r="K202" s="298"/>
    </row>
    <row r="203" ht="15.75" customHeight="1">
      <c r="A203" s="298"/>
      <c r="B203" s="298"/>
      <c r="C203" s="298"/>
      <c r="D203" s="543"/>
      <c r="E203" s="298"/>
      <c r="F203" s="298"/>
      <c r="G203" s="298"/>
      <c r="H203" s="580"/>
      <c r="I203" s="298"/>
      <c r="J203" s="298"/>
      <c r="K203" s="298"/>
    </row>
    <row r="204" ht="15.75" customHeight="1">
      <c r="A204" s="298"/>
      <c r="B204" s="298"/>
      <c r="C204" s="298"/>
      <c r="D204" s="543"/>
      <c r="E204" s="298"/>
      <c r="F204" s="298"/>
      <c r="G204" s="298"/>
      <c r="H204" s="580"/>
      <c r="I204" s="298"/>
      <c r="J204" s="298"/>
      <c r="K204" s="298"/>
    </row>
    <row r="205" ht="15.75" customHeight="1">
      <c r="A205" s="298"/>
      <c r="B205" s="298"/>
      <c r="C205" s="298"/>
      <c r="D205" s="543"/>
      <c r="E205" s="298"/>
      <c r="F205" s="298"/>
      <c r="G205" s="298"/>
      <c r="H205" s="580"/>
      <c r="I205" s="298"/>
      <c r="J205" s="298"/>
      <c r="K205" s="298"/>
    </row>
    <row r="206" ht="15.75" customHeight="1">
      <c r="A206" s="298"/>
      <c r="B206" s="298"/>
      <c r="C206" s="298"/>
      <c r="D206" s="543"/>
      <c r="E206" s="298"/>
      <c r="F206" s="298"/>
      <c r="G206" s="298"/>
      <c r="H206" s="580"/>
      <c r="I206" s="298"/>
      <c r="J206" s="298"/>
      <c r="K206" s="298"/>
    </row>
    <row r="207" ht="15.75" customHeight="1">
      <c r="A207" s="298"/>
      <c r="B207" s="298"/>
      <c r="C207" s="298"/>
      <c r="D207" s="543"/>
      <c r="E207" s="298"/>
      <c r="F207" s="298"/>
      <c r="G207" s="298"/>
      <c r="H207" s="580"/>
      <c r="I207" s="298"/>
      <c r="J207" s="298"/>
      <c r="K207" s="298"/>
    </row>
    <row r="208" ht="15.75" customHeight="1">
      <c r="A208" s="298"/>
      <c r="B208" s="298"/>
      <c r="C208" s="298"/>
      <c r="D208" s="543"/>
      <c r="E208" s="298"/>
      <c r="F208" s="298"/>
      <c r="G208" s="298"/>
      <c r="H208" s="580"/>
      <c r="I208" s="298"/>
      <c r="J208" s="298"/>
      <c r="K208" s="298"/>
    </row>
    <row r="209" ht="15.75" customHeight="1">
      <c r="A209" s="298"/>
      <c r="B209" s="298"/>
      <c r="C209" s="298"/>
      <c r="D209" s="543"/>
      <c r="E209" s="298"/>
      <c r="F209" s="298"/>
      <c r="G209" s="298"/>
      <c r="H209" s="580"/>
      <c r="I209" s="298"/>
      <c r="J209" s="298"/>
      <c r="K209" s="298"/>
    </row>
    <row r="210" ht="15.75" customHeight="1">
      <c r="A210" s="298"/>
      <c r="B210" s="298"/>
      <c r="C210" s="298"/>
      <c r="D210" s="543"/>
      <c r="E210" s="298"/>
      <c r="F210" s="298"/>
      <c r="G210" s="298"/>
      <c r="H210" s="580"/>
      <c r="I210" s="298"/>
      <c r="J210" s="298"/>
      <c r="K210" s="298"/>
    </row>
    <row r="211" ht="15.75" customHeight="1">
      <c r="A211" s="298"/>
      <c r="B211" s="298"/>
      <c r="C211" s="298"/>
      <c r="D211" s="543"/>
      <c r="E211" s="298"/>
      <c r="F211" s="298"/>
      <c r="G211" s="298"/>
      <c r="H211" s="580"/>
      <c r="I211" s="298"/>
      <c r="J211" s="298"/>
      <c r="K211" s="298"/>
    </row>
    <row r="212" ht="15.75" customHeight="1">
      <c r="A212" s="298"/>
      <c r="B212" s="298"/>
      <c r="C212" s="298"/>
      <c r="D212" s="543"/>
      <c r="E212" s="298"/>
      <c r="F212" s="298"/>
      <c r="G212" s="298"/>
      <c r="H212" s="580"/>
      <c r="I212" s="298"/>
      <c r="J212" s="298"/>
      <c r="K212" s="298"/>
    </row>
    <row r="213" ht="15.75" customHeight="1">
      <c r="A213" s="298"/>
      <c r="B213" s="298"/>
      <c r="C213" s="298"/>
      <c r="D213" s="543"/>
      <c r="E213" s="298"/>
      <c r="F213" s="298"/>
      <c r="G213" s="298"/>
      <c r="H213" s="580"/>
      <c r="I213" s="298"/>
      <c r="J213" s="298"/>
      <c r="K213" s="298"/>
    </row>
    <row r="214" ht="15.75" customHeight="1">
      <c r="A214" s="298"/>
      <c r="B214" s="298"/>
      <c r="C214" s="298"/>
      <c r="D214" s="543"/>
      <c r="E214" s="298"/>
      <c r="F214" s="298"/>
      <c r="G214" s="298"/>
      <c r="H214" s="580"/>
      <c r="I214" s="298"/>
      <c r="J214" s="298"/>
      <c r="K214" s="298"/>
    </row>
    <row r="215" ht="15.75" customHeight="1">
      <c r="A215" s="298"/>
      <c r="B215" s="298"/>
      <c r="C215" s="298"/>
      <c r="D215" s="543"/>
      <c r="E215" s="298"/>
      <c r="F215" s="298"/>
      <c r="G215" s="298"/>
      <c r="H215" s="580"/>
      <c r="I215" s="298"/>
      <c r="J215" s="298"/>
      <c r="K215" s="298"/>
    </row>
    <row r="216" ht="15.75" customHeight="1">
      <c r="A216" s="298"/>
      <c r="B216" s="298"/>
      <c r="C216" s="298"/>
      <c r="D216" s="543"/>
      <c r="E216" s="298"/>
      <c r="F216" s="298"/>
      <c r="G216" s="298"/>
      <c r="H216" s="580"/>
      <c r="I216" s="298"/>
      <c r="J216" s="298"/>
      <c r="K216" s="298"/>
    </row>
    <row r="217" ht="15.75" customHeight="1">
      <c r="A217" s="298"/>
      <c r="B217" s="298"/>
      <c r="C217" s="298"/>
      <c r="D217" s="543"/>
      <c r="E217" s="298"/>
      <c r="F217" s="298"/>
      <c r="G217" s="298"/>
      <c r="H217" s="580"/>
      <c r="I217" s="298"/>
      <c r="J217" s="298"/>
      <c r="K217" s="298"/>
    </row>
    <row r="218" ht="15.75" customHeight="1">
      <c r="A218" s="298"/>
      <c r="B218" s="298"/>
      <c r="C218" s="298"/>
      <c r="D218" s="543"/>
      <c r="E218" s="298"/>
      <c r="F218" s="298"/>
      <c r="G218" s="298"/>
      <c r="H218" s="580"/>
      <c r="I218" s="298"/>
      <c r="J218" s="298"/>
      <c r="K218" s="298"/>
    </row>
    <row r="219" ht="15.75" customHeight="1">
      <c r="A219" s="298"/>
      <c r="B219" s="298"/>
      <c r="C219" s="298"/>
      <c r="D219" s="543"/>
      <c r="E219" s="298"/>
      <c r="F219" s="298"/>
      <c r="G219" s="298"/>
      <c r="H219" s="580"/>
      <c r="I219" s="298"/>
      <c r="J219" s="298"/>
      <c r="K219" s="298"/>
    </row>
    <row r="220" ht="15.75" customHeight="1">
      <c r="A220" s="298"/>
      <c r="B220" s="298"/>
      <c r="C220" s="298"/>
      <c r="D220" s="543"/>
      <c r="E220" s="298"/>
      <c r="F220" s="298"/>
      <c r="G220" s="298"/>
      <c r="H220" s="580"/>
      <c r="I220" s="298"/>
      <c r="J220" s="298"/>
      <c r="K220" s="298"/>
    </row>
    <row r="221" ht="15.75" customHeight="1">
      <c r="A221" s="298"/>
      <c r="B221" s="298"/>
      <c r="C221" s="298"/>
      <c r="D221" s="543"/>
      <c r="E221" s="298"/>
      <c r="F221" s="298"/>
      <c r="G221" s="298"/>
      <c r="H221" s="580"/>
      <c r="I221" s="298"/>
      <c r="J221" s="298"/>
      <c r="K221" s="298"/>
    </row>
    <row r="222" ht="15.75" customHeight="1">
      <c r="A222" s="298"/>
      <c r="B222" s="298"/>
      <c r="C222" s="298"/>
      <c r="D222" s="543"/>
      <c r="E222" s="298"/>
      <c r="F222" s="298"/>
      <c r="G222" s="298"/>
      <c r="H222" s="580"/>
      <c r="I222" s="298"/>
      <c r="J222" s="298"/>
      <c r="K222" s="298"/>
    </row>
    <row r="223" ht="15.75" customHeight="1">
      <c r="A223" s="298"/>
      <c r="B223" s="298"/>
      <c r="C223" s="298"/>
      <c r="D223" s="543"/>
      <c r="E223" s="298"/>
      <c r="F223" s="298"/>
      <c r="G223" s="298"/>
      <c r="H223" s="580"/>
      <c r="I223" s="298"/>
      <c r="J223" s="298"/>
      <c r="K223" s="298"/>
    </row>
    <row r="224" ht="15.75" customHeight="1">
      <c r="A224" s="298"/>
      <c r="B224" s="298"/>
      <c r="C224" s="298"/>
      <c r="D224" s="543"/>
      <c r="E224" s="298"/>
      <c r="F224" s="298"/>
      <c r="G224" s="298"/>
      <c r="H224" s="580"/>
      <c r="I224" s="298"/>
      <c r="J224" s="298"/>
      <c r="K224" s="29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2.63" defaultRowHeight="15.0"/>
  <cols>
    <col customWidth="1" min="1" max="1" width="6.0"/>
    <col customWidth="1" min="2" max="2" width="3.38"/>
    <col customWidth="1" min="3" max="3" width="22.63"/>
    <col customWidth="1" min="4" max="4" width="8.63"/>
    <col customWidth="1" min="5" max="5" width="16.25"/>
    <col customWidth="1" min="6" max="6" width="12.75"/>
    <col customWidth="1" min="7" max="7" width="13.63"/>
    <col customWidth="1" min="8" max="8" width="17.88"/>
    <col customWidth="1" min="10" max="10" width="13.25"/>
    <col customWidth="1" min="11" max="11" width="17.75"/>
    <col customWidth="1" min="12" max="13" width="13.75"/>
  </cols>
  <sheetData>
    <row r="1" ht="15.75" customHeight="1">
      <c r="A1" s="587" t="s">
        <v>203</v>
      </c>
      <c r="B1" s="588"/>
      <c r="C1" s="588"/>
      <c r="D1" s="588"/>
      <c r="E1" s="588"/>
      <c r="F1" s="588">
        <f t="shared" ref="F1:K1" si="1">F2+543</f>
        <v>2567</v>
      </c>
      <c r="G1" s="588">
        <f t="shared" si="1"/>
        <v>2568</v>
      </c>
      <c r="H1" s="588">
        <f t="shared" si="1"/>
        <v>2569</v>
      </c>
      <c r="I1" s="588">
        <f t="shared" si="1"/>
        <v>2570</v>
      </c>
      <c r="J1" s="588">
        <f t="shared" si="1"/>
        <v>2571</v>
      </c>
      <c r="K1" s="620">
        <f t="shared" si="1"/>
        <v>2572</v>
      </c>
      <c r="L1" s="399"/>
      <c r="M1" s="399"/>
    </row>
    <row r="2" ht="15.75" customHeight="1">
      <c r="A2" s="589" t="s">
        <v>100</v>
      </c>
      <c r="B2" s="428"/>
      <c r="C2" s="428"/>
      <c r="D2" s="428"/>
      <c r="E2" s="428"/>
      <c r="F2" s="545">
        <f t="shared" ref="F2:K2" si="2">YEAR(F4)</f>
        <v>2024</v>
      </c>
      <c r="G2" s="545">
        <f t="shared" si="2"/>
        <v>2025</v>
      </c>
      <c r="H2" s="545">
        <f t="shared" si="2"/>
        <v>2026</v>
      </c>
      <c r="I2" s="545">
        <f t="shared" si="2"/>
        <v>2027</v>
      </c>
      <c r="J2" s="545">
        <f t="shared" si="2"/>
        <v>2028</v>
      </c>
      <c r="K2" s="621">
        <f t="shared" si="2"/>
        <v>2029</v>
      </c>
      <c r="L2" s="399"/>
      <c r="M2" s="399"/>
    </row>
    <row r="3" ht="15.75" customHeight="1">
      <c r="A3" s="591" t="s">
        <v>101</v>
      </c>
      <c r="B3" s="428"/>
      <c r="C3" s="428"/>
      <c r="D3" s="428" t="s">
        <v>102</v>
      </c>
      <c r="E3" s="428" t="s">
        <v>103</v>
      </c>
      <c r="F3" s="428">
        <v>0.0</v>
      </c>
      <c r="G3" s="428">
        <f t="shared" ref="G3:K3" si="3">F3+1</f>
        <v>1</v>
      </c>
      <c r="H3" s="428">
        <f t="shared" si="3"/>
        <v>2</v>
      </c>
      <c r="I3" s="428">
        <f t="shared" si="3"/>
        <v>3</v>
      </c>
      <c r="J3" s="428">
        <f t="shared" si="3"/>
        <v>4</v>
      </c>
      <c r="K3" s="622">
        <f t="shared" si="3"/>
        <v>5</v>
      </c>
      <c r="L3" s="537"/>
      <c r="M3" s="537"/>
    </row>
    <row r="4" ht="15.75" customHeight="1">
      <c r="A4" s="414"/>
      <c r="B4" s="298"/>
      <c r="C4" s="298" t="s">
        <v>104</v>
      </c>
      <c r="D4" s="543"/>
      <c r="E4" s="298"/>
      <c r="F4" s="623">
        <v>45292.0</v>
      </c>
      <c r="G4" s="624">
        <f t="shared" ref="G4:K4" si="4">F5+1</f>
        <v>45658</v>
      </c>
      <c r="H4" s="624">
        <f t="shared" si="4"/>
        <v>46023</v>
      </c>
      <c r="I4" s="624">
        <f t="shared" si="4"/>
        <v>46388</v>
      </c>
      <c r="J4" s="624">
        <f t="shared" si="4"/>
        <v>46753</v>
      </c>
      <c r="K4" s="625">
        <f t="shared" si="4"/>
        <v>47119</v>
      </c>
      <c r="L4" s="626"/>
      <c r="M4" s="626"/>
    </row>
    <row r="5" ht="15.75" customHeight="1">
      <c r="A5" s="414"/>
      <c r="B5" s="298"/>
      <c r="C5" s="298" t="s">
        <v>105</v>
      </c>
      <c r="D5" s="543"/>
      <c r="E5" s="298"/>
      <c r="F5" s="624">
        <f t="shared" ref="F5:K5" si="5">eomonth(F4,11)</f>
        <v>45657</v>
      </c>
      <c r="G5" s="624">
        <f t="shared" si="5"/>
        <v>46022</v>
      </c>
      <c r="H5" s="624">
        <f t="shared" si="5"/>
        <v>46387</v>
      </c>
      <c r="I5" s="624">
        <f t="shared" si="5"/>
        <v>46752</v>
      </c>
      <c r="J5" s="624">
        <f t="shared" si="5"/>
        <v>47118</v>
      </c>
      <c r="K5" s="625">
        <f t="shared" si="5"/>
        <v>47483</v>
      </c>
      <c r="L5" s="626"/>
      <c r="M5" s="626"/>
    </row>
    <row r="6" ht="15.75" customHeight="1">
      <c r="A6" s="431"/>
      <c r="B6" s="201"/>
      <c r="C6" s="201"/>
      <c r="D6" s="537"/>
      <c r="E6" s="201"/>
      <c r="F6" s="627"/>
      <c r="G6" s="201"/>
      <c r="H6" s="540"/>
      <c r="I6" s="201"/>
      <c r="J6" s="201"/>
      <c r="K6" s="432"/>
      <c r="L6" s="201"/>
      <c r="M6" s="201"/>
    </row>
    <row r="7" ht="15.75" customHeight="1">
      <c r="A7" s="427" t="s">
        <v>265</v>
      </c>
      <c r="B7" s="426"/>
      <c r="C7" s="426"/>
      <c r="D7" s="428"/>
      <c r="E7" s="426"/>
      <c r="F7" s="426"/>
      <c r="G7" s="426"/>
      <c r="H7" s="628"/>
      <c r="I7" s="426"/>
      <c r="J7" s="426"/>
      <c r="K7" s="629"/>
      <c r="L7" s="201"/>
      <c r="M7" s="201"/>
    </row>
    <row r="8" ht="15.75" customHeight="1">
      <c r="A8" s="430"/>
      <c r="B8" s="201"/>
      <c r="C8" s="201"/>
      <c r="D8" s="537"/>
      <c r="E8" s="201"/>
      <c r="F8" s="201"/>
      <c r="G8" s="201"/>
      <c r="H8" s="540"/>
      <c r="I8" s="201"/>
      <c r="J8" s="201"/>
      <c r="K8" s="432"/>
      <c r="L8" s="201"/>
      <c r="M8" s="201"/>
    </row>
    <row r="9" ht="15.75" customHeight="1">
      <c r="A9" s="630"/>
      <c r="B9" s="596" t="s">
        <v>247</v>
      </c>
      <c r="C9" s="595"/>
      <c r="D9" s="597"/>
      <c r="E9" s="598"/>
      <c r="F9" s="612">
        <v>0.0</v>
      </c>
      <c r="G9" s="612">
        <f>'Profit&amp;Loss'!G32</f>
        <v>86614268.25</v>
      </c>
      <c r="H9" s="612">
        <f>'Profit&amp;Loss'!H32</f>
        <v>61919297.84</v>
      </c>
      <c r="I9" s="612">
        <f>'Profit&amp;Loss'!I32</f>
        <v>122273560.2</v>
      </c>
      <c r="J9" s="612">
        <f>'Profit&amp;Loss'!J32</f>
        <v>175290935.1</v>
      </c>
      <c r="K9" s="614">
        <f>'Profit&amp;Loss'!K32</f>
        <v>225629721</v>
      </c>
      <c r="L9" s="612"/>
      <c r="M9" s="612"/>
    </row>
    <row r="10" ht="15.75" customHeight="1">
      <c r="A10" s="631"/>
      <c r="B10" s="600" t="s">
        <v>266</v>
      </c>
      <c r="C10" s="540"/>
      <c r="D10" s="541"/>
      <c r="E10" s="540"/>
      <c r="F10" s="612">
        <v>0.0</v>
      </c>
      <c r="G10" s="540">
        <f>-G9*Assumption_sheet!$E$121</f>
        <v>-21653567.06</v>
      </c>
      <c r="H10" s="540">
        <f>-H9*Assumption_sheet!$E$121</f>
        <v>-15479824.46</v>
      </c>
      <c r="I10" s="540">
        <f>-I9*Assumption_sheet!$E$121</f>
        <v>-30568390.05</v>
      </c>
      <c r="J10" s="540">
        <f>-J9*Assumption_sheet!$E$121</f>
        <v>-43822733.77</v>
      </c>
      <c r="K10" s="540">
        <f>-K9*Assumption_sheet!$E$121</f>
        <v>-56407430.25</v>
      </c>
      <c r="L10" s="540"/>
      <c r="M10" s="540"/>
    </row>
    <row r="11" ht="15.75" customHeight="1">
      <c r="A11" s="461"/>
      <c r="B11" s="600" t="s">
        <v>267</v>
      </c>
      <c r="C11" s="540"/>
      <c r="D11" s="541"/>
      <c r="E11" s="540"/>
      <c r="F11" s="612">
        <f>CashflowStatement!F9</f>
        <v>0</v>
      </c>
      <c r="G11" s="612">
        <f>CashflowStatement!G9</f>
        <v>6342382.516</v>
      </c>
      <c r="H11" s="612">
        <f>CashflowStatement!H9</f>
        <v>6337991.756</v>
      </c>
      <c r="I11" s="612">
        <f>CashflowStatement!I9</f>
        <v>3804499.981</v>
      </c>
      <c r="J11" s="612">
        <f>CashflowStatement!J9</f>
        <v>3508816.848</v>
      </c>
      <c r="K11" s="614">
        <f>CashflowStatement!K9</f>
        <v>3436104.493</v>
      </c>
      <c r="L11" s="612"/>
      <c r="M11" s="612"/>
    </row>
    <row r="12" ht="15.75" customHeight="1">
      <c r="A12" s="461"/>
      <c r="B12" s="600" t="s">
        <v>250</v>
      </c>
      <c r="C12" s="540"/>
      <c r="D12" s="541"/>
      <c r="E12" s="540"/>
      <c r="F12" s="612">
        <f>CashflowStatement!F10</f>
        <v>0</v>
      </c>
      <c r="G12" s="612">
        <f>CashflowStatement!G10</f>
        <v>1000000</v>
      </c>
      <c r="H12" s="612">
        <f>CashflowStatement!H10</f>
        <v>2000000</v>
      </c>
      <c r="I12" s="612">
        <f>CashflowStatement!I10</f>
        <v>3000000</v>
      </c>
      <c r="J12" s="612">
        <f>CashflowStatement!J10</f>
        <v>4000000</v>
      </c>
      <c r="K12" s="614">
        <f>CashflowStatement!K10</f>
        <v>5000000</v>
      </c>
      <c r="L12" s="612"/>
      <c r="M12" s="612"/>
    </row>
    <row r="13" ht="15.75" customHeight="1">
      <c r="A13" s="461"/>
      <c r="B13" s="600" t="s">
        <v>268</v>
      </c>
      <c r="C13" s="540"/>
      <c r="D13" s="541"/>
      <c r="E13" s="540"/>
      <c r="F13" s="612">
        <f>sum(CashflowStatement!F11:F13)</f>
        <v>-66992917.87</v>
      </c>
      <c r="G13" s="612">
        <f>sum(CashflowStatement!G11:G13)</f>
        <v>-136946939.7</v>
      </c>
      <c r="H13" s="612">
        <f>sum(CashflowStatement!H11:H13)</f>
        <v>-29596142.47</v>
      </c>
      <c r="I13" s="612">
        <f>sum(CashflowStatement!I11:I13)</f>
        <v>-43611150</v>
      </c>
      <c r="J13" s="612">
        <f>sum(CashflowStatement!J11:J13)</f>
        <v>-34317605.45</v>
      </c>
      <c r="K13" s="614">
        <f>sum(CashflowStatement!K11:K13)</f>
        <v>-34325614.93</v>
      </c>
      <c r="L13" s="612"/>
      <c r="M13" s="612"/>
    </row>
    <row r="14" ht="15.75" customHeight="1">
      <c r="A14" s="632"/>
      <c r="B14" s="633" t="s">
        <v>269</v>
      </c>
      <c r="C14" s="634"/>
      <c r="D14" s="635"/>
      <c r="E14" s="634"/>
      <c r="F14" s="634">
        <f t="shared" ref="F14:K14" si="6">sum(F9:F13)</f>
        <v>-66992917.87</v>
      </c>
      <c r="G14" s="634">
        <f t="shared" si="6"/>
        <v>-64643855.96</v>
      </c>
      <c r="H14" s="634">
        <f t="shared" si="6"/>
        <v>25181322.67</v>
      </c>
      <c r="I14" s="634">
        <f t="shared" si="6"/>
        <v>54898520.12</v>
      </c>
      <c r="J14" s="634">
        <f t="shared" si="6"/>
        <v>104659412.7</v>
      </c>
      <c r="K14" s="636">
        <f t="shared" si="6"/>
        <v>143332780.3</v>
      </c>
      <c r="L14" s="634"/>
      <c r="M14" s="634"/>
    </row>
    <row r="15" ht="15.75" customHeight="1">
      <c r="A15" s="637"/>
      <c r="B15" s="603"/>
      <c r="C15" s="602"/>
      <c r="D15" s="604"/>
      <c r="E15" s="602"/>
      <c r="F15" s="612"/>
      <c r="G15" s="539"/>
      <c r="H15" s="539"/>
      <c r="I15" s="539"/>
      <c r="J15" s="539"/>
      <c r="K15" s="510"/>
      <c r="L15" s="539"/>
      <c r="M15" s="539"/>
    </row>
    <row r="16" ht="15.75" customHeight="1">
      <c r="A16" s="523"/>
      <c r="B16" s="638" t="s">
        <v>51</v>
      </c>
      <c r="C16" s="612"/>
      <c r="D16" s="613"/>
      <c r="E16" s="612"/>
      <c r="F16" s="580">
        <f>CashflowStatement!F16</f>
        <v>-28320028.62</v>
      </c>
      <c r="G16" s="580">
        <f>CashflowStatement!G15</f>
        <v>-10000000</v>
      </c>
      <c r="H16" s="580">
        <f>CashflowStatement!H15</f>
        <v>-10000000</v>
      </c>
      <c r="I16" s="580">
        <f>CashflowStatement!I15</f>
        <v>-10000000</v>
      </c>
      <c r="J16" s="580">
        <f>CashflowStatement!J15</f>
        <v>-10000000</v>
      </c>
      <c r="K16" s="639">
        <f>CashflowStatement!K15</f>
        <v>-10000000</v>
      </c>
      <c r="L16" s="580"/>
      <c r="M16" s="580"/>
    </row>
    <row r="17" ht="15.75" customHeight="1">
      <c r="A17" s="632"/>
      <c r="B17" s="633" t="s">
        <v>270</v>
      </c>
      <c r="C17" s="634"/>
      <c r="D17" s="635"/>
      <c r="E17" s="634"/>
      <c r="F17" s="634">
        <f t="shared" ref="F17:K17" si="7">F14+F16</f>
        <v>-95312946.49</v>
      </c>
      <c r="G17" s="634">
        <f t="shared" si="7"/>
        <v>-74643855.96</v>
      </c>
      <c r="H17" s="634">
        <f t="shared" si="7"/>
        <v>15181322.67</v>
      </c>
      <c r="I17" s="634">
        <f t="shared" si="7"/>
        <v>44898520.12</v>
      </c>
      <c r="J17" s="634">
        <f t="shared" si="7"/>
        <v>94659412.7</v>
      </c>
      <c r="K17" s="636">
        <f t="shared" si="7"/>
        <v>133332780.3</v>
      </c>
      <c r="L17" s="634"/>
      <c r="M17" s="634"/>
    </row>
    <row r="18" ht="15.75" customHeight="1">
      <c r="A18" s="461"/>
      <c r="B18" s="600"/>
      <c r="C18" s="540"/>
      <c r="D18" s="541"/>
      <c r="E18" s="540"/>
      <c r="F18" s="540"/>
      <c r="G18" s="540"/>
      <c r="H18" s="540"/>
      <c r="I18" s="540"/>
      <c r="J18" s="540"/>
      <c r="K18" s="462"/>
      <c r="L18" s="540"/>
      <c r="M18" s="540"/>
    </row>
    <row r="19" ht="15.75" customHeight="1">
      <c r="A19" s="461"/>
      <c r="B19" s="600" t="s">
        <v>271</v>
      </c>
      <c r="C19" s="540"/>
      <c r="D19" s="541"/>
      <c r="E19" s="540"/>
      <c r="F19" s="540">
        <f>CashflowStatement!F17</f>
        <v>83300254.58</v>
      </c>
      <c r="G19" s="540">
        <f>sum(CashflowStatement!G17:G18)</f>
        <v>-2003203.865</v>
      </c>
      <c r="H19" s="540">
        <f>sum(CashflowStatement!H17:H18)</f>
        <v>-2003203.865</v>
      </c>
      <c r="I19" s="540">
        <f>sum(CashflowStatement!I17:I18)</f>
        <v>-2003203.865</v>
      </c>
      <c r="J19" s="540">
        <f>sum(CashflowStatement!J17:J18)</f>
        <v>-2003203.865</v>
      </c>
      <c r="K19" s="462">
        <f>sum(CashflowStatement!K17:K18)</f>
        <v>0</v>
      </c>
      <c r="L19" s="540"/>
      <c r="M19" s="540"/>
    </row>
    <row r="20" ht="15.75" customHeight="1">
      <c r="A20" s="461"/>
      <c r="B20" s="600" t="s">
        <v>259</v>
      </c>
      <c r="C20" s="540"/>
      <c r="D20" s="541"/>
      <c r="E20" s="540"/>
      <c r="F20" s="540">
        <f>CashflowStatement!F19</f>
        <v>0</v>
      </c>
      <c r="G20" s="540">
        <f>CashflowStatement!G19</f>
        <v>-3466218.685</v>
      </c>
      <c r="H20" s="540">
        <f>CashflowStatement!H19</f>
        <v>-3358045.676</v>
      </c>
      <c r="I20" s="540">
        <f>CashflowStatement!I19</f>
        <v>-3249872.668</v>
      </c>
      <c r="J20" s="540">
        <f>CashflowStatement!J19</f>
        <v>-3141699.659</v>
      </c>
      <c r="K20" s="462">
        <f>CashflowStatement!K19</f>
        <v>-3087613.155</v>
      </c>
      <c r="L20" s="540"/>
      <c r="M20" s="540"/>
    </row>
    <row r="21" ht="15.75" customHeight="1">
      <c r="A21" s="632"/>
      <c r="B21" s="633" t="s">
        <v>272</v>
      </c>
      <c r="C21" s="634"/>
      <c r="D21" s="635"/>
      <c r="E21" s="634"/>
      <c r="F21" s="634">
        <f t="shared" ref="F21:K21" si="8">F17+F19+F20</f>
        <v>-12012691.91</v>
      </c>
      <c r="G21" s="634">
        <f t="shared" si="8"/>
        <v>-80113278.51</v>
      </c>
      <c r="H21" s="634">
        <f t="shared" si="8"/>
        <v>9820073.133</v>
      </c>
      <c r="I21" s="634">
        <f t="shared" si="8"/>
        <v>39645443.59</v>
      </c>
      <c r="J21" s="634">
        <f t="shared" si="8"/>
        <v>89514509.18</v>
      </c>
      <c r="K21" s="636">
        <f t="shared" si="8"/>
        <v>130245167.2</v>
      </c>
      <c r="L21" s="634"/>
      <c r="M21" s="634"/>
    </row>
    <row r="22" ht="15.75" customHeight="1">
      <c r="A22" s="461"/>
      <c r="B22" s="600"/>
      <c r="C22" s="540"/>
      <c r="D22" s="541"/>
      <c r="E22" s="640"/>
      <c r="F22" s="580"/>
      <c r="G22" s="298"/>
      <c r="H22" s="298"/>
      <c r="I22" s="298"/>
      <c r="J22" s="298"/>
      <c r="K22" s="641"/>
      <c r="L22" s="298"/>
      <c r="M22" s="298"/>
    </row>
    <row r="23" ht="15.75" customHeight="1">
      <c r="A23" s="461"/>
      <c r="B23" s="633" t="s">
        <v>273</v>
      </c>
      <c r="C23" s="540"/>
      <c r="D23" s="541"/>
      <c r="E23" s="640"/>
      <c r="F23" s="580"/>
      <c r="G23" s="298"/>
      <c r="H23" s="298"/>
      <c r="I23" s="298"/>
      <c r="J23" s="298"/>
      <c r="K23" s="642">
        <f>K17*(1+Assumption_sheet!E10)/(Discount_Cal!C14 - Assumption_sheet!E10)</f>
        <v>6839882017</v>
      </c>
      <c r="L23" s="298"/>
      <c r="M23" s="298"/>
    </row>
    <row r="24" ht="15.75" customHeight="1">
      <c r="A24" s="632"/>
      <c r="B24" s="633" t="s">
        <v>274</v>
      </c>
      <c r="C24" s="634"/>
      <c r="D24" s="635"/>
      <c r="E24" s="635"/>
      <c r="F24" s="634"/>
      <c r="G24" s="634"/>
      <c r="H24" s="634"/>
      <c r="I24" s="634"/>
      <c r="J24" s="634"/>
      <c r="K24" s="501">
        <f>K21*(1+Assumption_sheet!E10)/(Discount_Cal!C11 - Assumption_sheet!E10)</f>
        <v>3752433133</v>
      </c>
      <c r="L24" s="634"/>
      <c r="M24" s="634"/>
    </row>
    <row r="25" ht="15.75" customHeight="1">
      <c r="A25" s="523"/>
      <c r="B25" s="600"/>
      <c r="C25" s="612"/>
      <c r="D25" s="613"/>
      <c r="E25" s="612"/>
      <c r="F25" s="612"/>
      <c r="G25" s="612"/>
      <c r="H25" s="612"/>
      <c r="I25" s="612"/>
      <c r="J25" s="612"/>
      <c r="K25" s="614"/>
      <c r="L25" s="612"/>
      <c r="M25" s="612"/>
    </row>
    <row r="26" ht="15.75" customHeight="1">
      <c r="A26" s="523"/>
      <c r="B26" s="600" t="s">
        <v>275</v>
      </c>
      <c r="C26" s="612"/>
      <c r="D26" s="613"/>
      <c r="E26" s="612"/>
      <c r="F26" s="612">
        <f t="shared" ref="F26:J26" si="9">F17+F24</f>
        <v>-95312946.49</v>
      </c>
      <c r="G26" s="612">
        <f t="shared" si="9"/>
        <v>-74643855.96</v>
      </c>
      <c r="H26" s="612">
        <f t="shared" si="9"/>
        <v>15181322.67</v>
      </c>
      <c r="I26" s="612">
        <f t="shared" si="9"/>
        <v>44898520.12</v>
      </c>
      <c r="J26" s="612">
        <f t="shared" si="9"/>
        <v>94659412.7</v>
      </c>
      <c r="K26" s="614">
        <f>K17+K23</f>
        <v>6973214797</v>
      </c>
      <c r="L26" s="612"/>
      <c r="M26" s="612"/>
    </row>
    <row r="27" ht="15.75" customHeight="1">
      <c r="A27" s="461"/>
      <c r="B27" s="600" t="s">
        <v>276</v>
      </c>
      <c r="C27" s="540"/>
      <c r="D27" s="541"/>
      <c r="E27" s="540"/>
      <c r="F27" s="540">
        <f t="shared" ref="F27:K27" si="10">F21+F24</f>
        <v>-12012691.91</v>
      </c>
      <c r="G27" s="540">
        <f t="shared" si="10"/>
        <v>-80113278.51</v>
      </c>
      <c r="H27" s="540">
        <f t="shared" si="10"/>
        <v>9820073.133</v>
      </c>
      <c r="I27" s="540">
        <f t="shared" si="10"/>
        <v>39645443.59</v>
      </c>
      <c r="J27" s="540">
        <f t="shared" si="10"/>
        <v>89514509.18</v>
      </c>
      <c r="K27" s="462">
        <f t="shared" si="10"/>
        <v>3882678300</v>
      </c>
      <c r="L27" s="540"/>
      <c r="M27" s="540"/>
    </row>
    <row r="28" ht="15.75" customHeight="1">
      <c r="A28" s="455"/>
      <c r="B28" s="643"/>
      <c r="C28" s="539"/>
      <c r="D28" s="582"/>
      <c r="E28" s="539"/>
      <c r="F28" s="539"/>
      <c r="G28" s="539"/>
      <c r="H28" s="540"/>
      <c r="I28" s="539"/>
      <c r="J28" s="539"/>
      <c r="K28" s="510"/>
      <c r="L28" s="539"/>
      <c r="M28" s="539"/>
    </row>
    <row r="29" ht="15.75" customHeight="1">
      <c r="A29" s="461"/>
      <c r="B29" s="644" t="s">
        <v>277</v>
      </c>
      <c r="C29" s="645"/>
      <c r="D29" s="646" t="s">
        <v>278</v>
      </c>
      <c r="E29" s="647">
        <f t="shared" ref="E29:E30" si="11">irr(F26:K26)</f>
        <v>1.261625132</v>
      </c>
      <c r="F29" s="580"/>
      <c r="G29" s="201" t="s">
        <v>279</v>
      </c>
      <c r="H29" s="201"/>
      <c r="I29" s="201"/>
      <c r="J29" s="201" t="s">
        <v>280</v>
      </c>
      <c r="K29" s="432"/>
      <c r="L29" s="201"/>
      <c r="M29" s="201"/>
    </row>
    <row r="30" ht="15.75" customHeight="1">
      <c r="A30" s="648"/>
      <c r="B30" s="649" t="s">
        <v>281</v>
      </c>
      <c r="C30" s="650"/>
      <c r="D30" s="651" t="s">
        <v>278</v>
      </c>
      <c r="E30" s="647">
        <f t="shared" si="11"/>
        <v>1.529214781</v>
      </c>
      <c r="F30" s="612"/>
      <c r="G30" s="540" t="s">
        <v>282</v>
      </c>
      <c r="H30" s="540">
        <f t="array" ref="H30">npv(Discount_Cal!$C$14,G26:K26)</f>
        <v>5013154429</v>
      </c>
      <c r="I30" s="540"/>
      <c r="J30" s="652" t="s">
        <v>283</v>
      </c>
      <c r="K30" s="653">
        <f t="array" ref="K30">npv(Discount_Cal!$G$15,G27:K27)</f>
        <v>2594775466</v>
      </c>
      <c r="L30" s="540"/>
      <c r="M30" s="540"/>
    </row>
    <row r="31" ht="15.75" customHeight="1">
      <c r="A31" s="431"/>
      <c r="B31" s="596"/>
      <c r="C31" s="201"/>
      <c r="D31" s="537"/>
      <c r="E31" s="539"/>
      <c r="F31" s="201"/>
      <c r="G31" s="654" t="s">
        <v>284</v>
      </c>
      <c r="H31" s="540">
        <f>CashflowStatement!F22</f>
        <v>16443308.13</v>
      </c>
      <c r="I31" s="540"/>
      <c r="J31" s="540"/>
      <c r="K31" s="462"/>
      <c r="L31" s="540"/>
      <c r="M31" s="540"/>
    </row>
    <row r="32" ht="15.75" customHeight="1">
      <c r="A32" s="461"/>
      <c r="B32" s="202" t="s">
        <v>285</v>
      </c>
      <c r="C32" s="199"/>
      <c r="D32" s="655" t="s">
        <v>278</v>
      </c>
      <c r="E32" s="199">
        <f t="array" ref="E32">npv(Discount_Cal!$C$14,G26:K26)+F26</f>
        <v>4917841482</v>
      </c>
      <c r="F32" s="540"/>
      <c r="G32" s="654" t="s">
        <v>286</v>
      </c>
      <c r="H32" s="612">
        <f>-Assumption_sheet!E187</f>
        <v>-83300254.58</v>
      </c>
      <c r="I32" s="584"/>
      <c r="J32" s="584"/>
      <c r="K32" s="507"/>
      <c r="L32" s="584"/>
      <c r="M32" s="584"/>
    </row>
    <row r="33" ht="15.75" customHeight="1">
      <c r="A33" s="461"/>
      <c r="B33" s="202" t="s">
        <v>287</v>
      </c>
      <c r="C33" s="199"/>
      <c r="D33" s="655" t="s">
        <v>278</v>
      </c>
      <c r="E33" s="199">
        <f t="array" ref="E33">npv(Discount_Cal!$C$11,G27:K27)+F27</f>
        <v>2582762774</v>
      </c>
      <c r="F33" s="540"/>
      <c r="G33" s="652" t="s">
        <v>283</v>
      </c>
      <c r="H33" s="652">
        <f>sum(H30:H32)</f>
        <v>4946297482</v>
      </c>
      <c r="I33" s="540"/>
      <c r="J33" s="540"/>
      <c r="K33" s="462"/>
      <c r="L33" s="540"/>
      <c r="M33" s="540"/>
    </row>
    <row r="34" ht="15.75" customHeight="1">
      <c r="A34" s="519"/>
      <c r="B34" s="584"/>
      <c r="C34" s="584"/>
      <c r="D34" s="585"/>
      <c r="E34" s="584"/>
      <c r="F34" s="584"/>
      <c r="G34" s="298"/>
      <c r="H34" s="298"/>
      <c r="I34" s="298"/>
      <c r="J34" s="298"/>
      <c r="K34" s="641"/>
      <c r="L34" s="298"/>
      <c r="M34" s="298"/>
    </row>
    <row r="35" ht="15.75" customHeight="1">
      <c r="A35" s="461"/>
      <c r="B35" s="615" t="s">
        <v>288</v>
      </c>
      <c r="C35" s="540"/>
      <c r="D35" s="541"/>
      <c r="E35" s="540"/>
      <c r="F35" s="540">
        <f t="shared" ref="F35:K35" si="12">F26</f>
        <v>-95312946.49</v>
      </c>
      <c r="G35" s="540">
        <f t="shared" si="12"/>
        <v>-74643855.96</v>
      </c>
      <c r="H35" s="540">
        <f t="shared" si="12"/>
        <v>15181322.67</v>
      </c>
      <c r="I35" s="540">
        <f t="shared" si="12"/>
        <v>44898520.12</v>
      </c>
      <c r="J35" s="540">
        <f t="shared" si="12"/>
        <v>94659412.7</v>
      </c>
      <c r="K35" s="462">
        <f t="shared" si="12"/>
        <v>6973214797</v>
      </c>
      <c r="L35" s="540"/>
      <c r="M35" s="540"/>
    </row>
    <row r="36" ht="15.75" customHeight="1">
      <c r="A36" s="461"/>
      <c r="B36" s="615" t="s">
        <v>289</v>
      </c>
      <c r="C36" s="540"/>
      <c r="D36" s="541"/>
      <c r="E36" s="540"/>
      <c r="F36" s="540">
        <f t="shared" ref="F36:K36" si="13">F35+E36</f>
        <v>-95312946.49</v>
      </c>
      <c r="G36" s="540">
        <f t="shared" si="13"/>
        <v>-169956802.5</v>
      </c>
      <c r="H36" s="540">
        <f t="shared" si="13"/>
        <v>-154775479.8</v>
      </c>
      <c r="I36" s="540">
        <f t="shared" si="13"/>
        <v>-109876959.7</v>
      </c>
      <c r="J36" s="540">
        <f t="shared" si="13"/>
        <v>-15217546.95</v>
      </c>
      <c r="K36" s="462">
        <f t="shared" si="13"/>
        <v>6957997250</v>
      </c>
      <c r="L36" s="540"/>
      <c r="M36" s="540"/>
    </row>
    <row r="37" ht="15.75" customHeight="1">
      <c r="A37" s="656"/>
      <c r="B37" s="615"/>
      <c r="C37" s="533"/>
      <c r="D37" s="534"/>
      <c r="E37" s="533"/>
      <c r="F37" s="657">
        <f t="shared" ref="F37:K37" si="14">IF(AND(E36&lt;0,F36&gt;=0),F3-1+(E36*-1/F35),0)</f>
        <v>0</v>
      </c>
      <c r="G37" s="657">
        <f t="shared" si="14"/>
        <v>0</v>
      </c>
      <c r="H37" s="657">
        <f t="shared" si="14"/>
        <v>0</v>
      </c>
      <c r="I37" s="657">
        <f t="shared" si="14"/>
        <v>0</v>
      </c>
      <c r="J37" s="657">
        <f t="shared" si="14"/>
        <v>0</v>
      </c>
      <c r="K37" s="658">
        <f t="shared" si="14"/>
        <v>4.002182286</v>
      </c>
      <c r="L37" s="657"/>
      <c r="M37" s="657"/>
    </row>
    <row r="38" ht="15.75" customHeight="1">
      <c r="A38" s="431"/>
      <c r="B38" s="615" t="s">
        <v>290</v>
      </c>
      <c r="C38" s="201"/>
      <c r="D38" s="537"/>
      <c r="E38" s="540"/>
      <c r="F38" s="540">
        <f t="shared" ref="F38:K38" si="15">F27</f>
        <v>-12012691.91</v>
      </c>
      <c r="G38" s="540">
        <f t="shared" si="15"/>
        <v>-80113278.51</v>
      </c>
      <c r="H38" s="540">
        <f t="shared" si="15"/>
        <v>9820073.133</v>
      </c>
      <c r="I38" s="540">
        <f t="shared" si="15"/>
        <v>39645443.59</v>
      </c>
      <c r="J38" s="540">
        <f t="shared" si="15"/>
        <v>89514509.18</v>
      </c>
      <c r="K38" s="462">
        <f t="shared" si="15"/>
        <v>3882678300</v>
      </c>
      <c r="L38" s="540"/>
      <c r="M38" s="540"/>
    </row>
    <row r="39" ht="15.75" customHeight="1">
      <c r="A39" s="461"/>
      <c r="B39" s="600" t="s">
        <v>291</v>
      </c>
      <c r="C39" s="540"/>
      <c r="D39" s="541"/>
      <c r="E39" s="540"/>
      <c r="F39" s="540">
        <f t="shared" ref="F39:K39" si="16">F38+E39</f>
        <v>-12012691.91</v>
      </c>
      <c r="G39" s="540">
        <f t="shared" si="16"/>
        <v>-92125970.42</v>
      </c>
      <c r="H39" s="540">
        <f t="shared" si="16"/>
        <v>-82305897.29</v>
      </c>
      <c r="I39" s="540">
        <f t="shared" si="16"/>
        <v>-42660453.7</v>
      </c>
      <c r="J39" s="540">
        <f t="shared" si="16"/>
        <v>46854055.48</v>
      </c>
      <c r="K39" s="462">
        <f t="shared" si="16"/>
        <v>3929532355</v>
      </c>
      <c r="L39" s="540"/>
      <c r="M39" s="540"/>
    </row>
    <row r="40" ht="15.75" customHeight="1">
      <c r="A40" s="431"/>
      <c r="B40" s="201"/>
      <c r="C40" s="201"/>
      <c r="D40" s="537"/>
      <c r="E40" s="201"/>
      <c r="F40" s="657">
        <f t="shared" ref="F40:K40" si="17">IF(AND(E39&lt;0,F39&gt;=0),F3-1+(E39*-1/F38),0)</f>
        <v>0</v>
      </c>
      <c r="G40" s="657">
        <f t="shared" si="17"/>
        <v>0</v>
      </c>
      <c r="H40" s="657">
        <f t="shared" si="17"/>
        <v>0</v>
      </c>
      <c r="I40" s="657">
        <f t="shared" si="17"/>
        <v>0</v>
      </c>
      <c r="J40" s="657">
        <f t="shared" si="17"/>
        <v>3.476575854</v>
      </c>
      <c r="K40" s="658">
        <f t="shared" si="17"/>
        <v>0</v>
      </c>
      <c r="L40" s="657"/>
      <c r="M40" s="657"/>
    </row>
    <row r="41" ht="15.75" customHeight="1">
      <c r="A41" s="431"/>
      <c r="B41" s="659" t="s">
        <v>292</v>
      </c>
      <c r="C41" s="660"/>
      <c r="D41" s="661" t="s">
        <v>293</v>
      </c>
      <c r="E41" s="662">
        <f>sum(F37:K37)</f>
        <v>4.002182286</v>
      </c>
      <c r="F41" s="201"/>
      <c r="G41" s="201"/>
      <c r="H41" s="540"/>
      <c r="I41" s="201"/>
      <c r="J41" s="201"/>
      <c r="K41" s="432"/>
      <c r="L41" s="201"/>
      <c r="M41" s="201"/>
    </row>
    <row r="42" ht="15.75" customHeight="1">
      <c r="A42" s="522"/>
      <c r="B42" s="663" t="s">
        <v>294</v>
      </c>
      <c r="C42" s="664"/>
      <c r="D42" s="665" t="s">
        <v>293</v>
      </c>
      <c r="E42" s="666">
        <f>sum(F40:K40)</f>
        <v>3.476575854</v>
      </c>
      <c r="F42" s="667"/>
      <c r="G42" s="667"/>
      <c r="H42" s="668"/>
      <c r="I42" s="667"/>
      <c r="J42" s="667"/>
      <c r="K42" s="669"/>
      <c r="L42" s="201"/>
      <c r="M42" s="201"/>
    </row>
    <row r="43" ht="15.75" customHeight="1">
      <c r="A43" s="201"/>
      <c r="B43" s="201"/>
      <c r="C43" s="201"/>
      <c r="D43" s="537"/>
      <c r="E43" s="432"/>
      <c r="F43" s="201"/>
      <c r="G43" s="201"/>
      <c r="H43" s="540"/>
      <c r="I43" s="201"/>
      <c r="J43" s="201"/>
      <c r="K43" s="201"/>
      <c r="L43" s="201"/>
      <c r="M43" s="201"/>
    </row>
    <row r="44" ht="15.75" customHeight="1">
      <c r="A44" s="201"/>
      <c r="B44" s="201"/>
      <c r="C44" s="201"/>
      <c r="D44" s="537"/>
      <c r="E44" s="432"/>
      <c r="F44" s="201"/>
      <c r="G44" s="201"/>
      <c r="H44" s="540"/>
      <c r="I44" s="201"/>
      <c r="J44" s="201"/>
      <c r="K44" s="201"/>
      <c r="L44" s="201"/>
      <c r="M44" s="201"/>
    </row>
    <row r="45" ht="15.75" customHeight="1">
      <c r="A45" s="201"/>
      <c r="B45" s="201"/>
      <c r="C45" s="201"/>
      <c r="D45" s="537"/>
      <c r="E45" s="432"/>
      <c r="F45" s="670" t="s">
        <v>295</v>
      </c>
      <c r="G45" s="670"/>
      <c r="H45" s="671"/>
      <c r="I45" s="670"/>
      <c r="J45" s="670"/>
      <c r="K45" s="670"/>
      <c r="L45" s="670"/>
      <c r="M45" s="670"/>
    </row>
    <row r="46" ht="15.75" customHeight="1">
      <c r="A46" s="536"/>
      <c r="B46" s="201"/>
      <c r="C46" s="201"/>
      <c r="D46" s="537"/>
      <c r="E46" s="432"/>
      <c r="F46" s="670" t="s">
        <v>296</v>
      </c>
      <c r="G46" s="670"/>
      <c r="H46" s="671"/>
      <c r="I46" s="670"/>
      <c r="J46" s="670"/>
      <c r="K46" s="670"/>
      <c r="L46" s="670"/>
      <c r="M46" s="670"/>
    </row>
    <row r="47" ht="15.75" customHeight="1">
      <c r="A47" s="201"/>
      <c r="B47" s="201"/>
      <c r="C47" s="201"/>
      <c r="D47" s="537"/>
      <c r="E47" s="462"/>
      <c r="F47" s="670"/>
      <c r="G47" s="670" t="s">
        <v>297</v>
      </c>
      <c r="H47" s="671"/>
      <c r="I47" s="670"/>
      <c r="J47" s="670"/>
      <c r="K47" s="672">
        <f t="shared" ref="K47:K48" si="18">E29</f>
        <v>1.261625132</v>
      </c>
      <c r="L47" s="672"/>
      <c r="M47" s="672"/>
    </row>
    <row r="48" ht="15.75" customHeight="1">
      <c r="A48" s="201"/>
      <c r="B48" s="201"/>
      <c r="C48" s="201"/>
      <c r="D48" s="537"/>
      <c r="E48" s="462"/>
      <c r="F48" s="670"/>
      <c r="G48" s="670" t="s">
        <v>298</v>
      </c>
      <c r="H48" s="671"/>
      <c r="I48" s="670"/>
      <c r="J48" s="670"/>
      <c r="K48" s="672">
        <f t="shared" si="18"/>
        <v>1.529214781</v>
      </c>
      <c r="L48" s="672"/>
      <c r="M48" s="672"/>
    </row>
    <row r="49" ht="15.75" customHeight="1">
      <c r="A49" s="201"/>
      <c r="B49" s="201"/>
      <c r="C49" s="201"/>
      <c r="D49" s="537"/>
      <c r="E49" s="462"/>
      <c r="F49" s="670"/>
      <c r="G49" s="670"/>
      <c r="H49" s="671"/>
      <c r="I49" s="670"/>
      <c r="J49" s="670"/>
      <c r="K49" s="670"/>
      <c r="L49" s="670"/>
      <c r="M49" s="670"/>
    </row>
    <row r="50" ht="15.75" customHeight="1">
      <c r="A50" s="201"/>
      <c r="B50" s="201"/>
      <c r="C50" s="201"/>
      <c r="D50" s="537"/>
      <c r="E50" s="462"/>
      <c r="F50" s="670" t="s">
        <v>299</v>
      </c>
      <c r="G50" s="670"/>
      <c r="H50" s="671"/>
      <c r="I50" s="670"/>
      <c r="J50" s="670"/>
      <c r="K50" s="670"/>
      <c r="L50" s="670"/>
      <c r="M50" s="670"/>
    </row>
    <row r="51" ht="15.75" customHeight="1">
      <c r="A51" s="201"/>
      <c r="B51" s="201"/>
      <c r="C51" s="201"/>
      <c r="D51" s="537"/>
      <c r="E51" s="462"/>
      <c r="F51" s="670"/>
      <c r="G51" s="670" t="s">
        <v>300</v>
      </c>
      <c r="H51" s="671"/>
      <c r="I51" s="670"/>
      <c r="J51" s="670"/>
      <c r="K51" s="671">
        <f>H33</f>
        <v>4946297482</v>
      </c>
      <c r="L51" s="673" t="s">
        <v>182</v>
      </c>
      <c r="M51" s="671"/>
    </row>
    <row r="52" ht="15.75" customHeight="1">
      <c r="A52" s="201"/>
      <c r="B52" s="201"/>
      <c r="C52" s="536"/>
      <c r="D52" s="537"/>
      <c r="E52" s="432"/>
      <c r="F52" s="670"/>
      <c r="G52" s="670" t="s">
        <v>301</v>
      </c>
      <c r="H52" s="671"/>
      <c r="I52" s="670"/>
      <c r="J52" s="670"/>
      <c r="K52" s="671">
        <f>K30</f>
        <v>2594775466</v>
      </c>
      <c r="L52" s="673" t="s">
        <v>182</v>
      </c>
      <c r="M52" s="671"/>
    </row>
    <row r="53" ht="15.75" customHeight="1">
      <c r="A53" s="201"/>
      <c r="B53" s="201"/>
      <c r="C53" s="201"/>
      <c r="D53" s="537"/>
      <c r="E53" s="432"/>
      <c r="F53" s="670"/>
      <c r="G53" s="670"/>
      <c r="H53" s="671"/>
      <c r="I53" s="670"/>
      <c r="J53" s="670"/>
      <c r="K53" s="670"/>
      <c r="L53" s="674"/>
      <c r="M53" s="670"/>
    </row>
    <row r="54" ht="15.75" customHeight="1">
      <c r="A54" s="201"/>
      <c r="B54" s="536"/>
      <c r="C54" s="201"/>
      <c r="D54" s="537"/>
      <c r="E54" s="432"/>
      <c r="F54" s="670" t="s">
        <v>302</v>
      </c>
      <c r="G54" s="670"/>
      <c r="H54" s="671"/>
      <c r="I54" s="670"/>
      <c r="J54" s="670"/>
      <c r="K54" s="670"/>
      <c r="L54" s="674"/>
      <c r="M54" s="670"/>
    </row>
    <row r="55" ht="15.75" customHeight="1">
      <c r="A55" s="540"/>
      <c r="B55" s="540"/>
      <c r="C55" s="540"/>
      <c r="D55" s="541"/>
      <c r="E55" s="675"/>
      <c r="F55" s="671"/>
      <c r="G55" s="671" t="s">
        <v>303</v>
      </c>
      <c r="H55" s="671"/>
      <c r="I55" s="671"/>
      <c r="J55" s="671"/>
      <c r="K55" s="676">
        <f t="shared" ref="K55:K56" si="19">E41</f>
        <v>4.002182286</v>
      </c>
      <c r="L55" s="677" t="s">
        <v>169</v>
      </c>
      <c r="M55" s="676"/>
    </row>
    <row r="56" ht="15.75" customHeight="1">
      <c r="A56" s="201"/>
      <c r="B56" s="201"/>
      <c r="C56" s="201"/>
      <c r="D56" s="537"/>
      <c r="E56" s="432"/>
      <c r="F56" s="670"/>
      <c r="G56" s="671" t="s">
        <v>304</v>
      </c>
      <c r="H56" s="671"/>
      <c r="I56" s="671"/>
      <c r="J56" s="671"/>
      <c r="K56" s="676">
        <f t="shared" si="19"/>
        <v>3.476575854</v>
      </c>
      <c r="L56" s="677" t="s">
        <v>169</v>
      </c>
      <c r="M56" s="676"/>
    </row>
    <row r="57" ht="15.75" customHeight="1">
      <c r="A57" s="201"/>
      <c r="B57" s="201"/>
      <c r="C57" s="201"/>
      <c r="D57" s="537"/>
      <c r="E57" s="432"/>
      <c r="F57" s="670"/>
      <c r="G57" s="671"/>
      <c r="H57" s="671"/>
      <c r="I57" s="670"/>
      <c r="J57" s="670"/>
      <c r="K57" s="670"/>
      <c r="L57" s="670"/>
      <c r="M57" s="670"/>
    </row>
    <row r="58" ht="15.75" customHeight="1">
      <c r="A58" s="201"/>
      <c r="B58" s="201"/>
      <c r="C58" s="201"/>
      <c r="D58" s="537"/>
      <c r="E58" s="432"/>
      <c r="F58" s="201"/>
      <c r="G58" s="201"/>
      <c r="H58" s="540"/>
      <c r="I58" s="540"/>
      <c r="J58" s="540"/>
      <c r="K58" s="540"/>
      <c r="L58" s="540"/>
      <c r="M58" s="540"/>
    </row>
    <row r="59" ht="15.75" customHeight="1">
      <c r="A59" s="201"/>
      <c r="B59" s="201"/>
      <c r="C59" s="201"/>
      <c r="D59" s="537"/>
      <c r="E59" s="432"/>
      <c r="F59" s="678"/>
      <c r="G59" s="679" t="s">
        <v>305</v>
      </c>
      <c r="H59" s="680"/>
      <c r="J59" s="201"/>
      <c r="K59" s="201"/>
      <c r="L59" s="201"/>
      <c r="M59" s="201"/>
    </row>
    <row r="60" ht="15.75" customHeight="1">
      <c r="A60" s="201"/>
      <c r="B60" s="201"/>
      <c r="C60" s="536"/>
      <c r="D60" s="537"/>
      <c r="E60" s="432"/>
      <c r="F60" s="201"/>
      <c r="I60" s="201"/>
      <c r="J60" s="201"/>
      <c r="K60" s="201"/>
      <c r="L60" s="201"/>
      <c r="M60" s="201"/>
    </row>
    <row r="61" ht="15.75" customHeight="1">
      <c r="A61" s="536"/>
      <c r="B61" s="201"/>
      <c r="C61" s="201"/>
      <c r="D61" s="537"/>
      <c r="E61" s="432"/>
      <c r="F61" s="201"/>
      <c r="G61" s="681" t="s">
        <v>306</v>
      </c>
      <c r="H61" s="682" t="s">
        <v>307</v>
      </c>
      <c r="I61" s="201"/>
      <c r="J61" s="201"/>
      <c r="K61" s="201"/>
      <c r="L61" s="201"/>
      <c r="M61" s="201"/>
    </row>
    <row r="62" ht="15.75" customHeight="1">
      <c r="A62" s="201"/>
      <c r="B62" s="201"/>
      <c r="C62" s="201"/>
      <c r="D62" s="534"/>
      <c r="E62" s="683"/>
      <c r="G62" s="684">
        <f>Discount_Cal!C14</f>
        <v>0.07046810442</v>
      </c>
      <c r="H62" s="685">
        <f>H33</f>
        <v>4946297482</v>
      </c>
    </row>
    <row r="63" ht="15.75" customHeight="1">
      <c r="A63" s="201"/>
      <c r="B63" s="201"/>
      <c r="C63" s="201"/>
      <c r="D63" s="537"/>
      <c r="E63" s="462"/>
      <c r="F63" s="201"/>
      <c r="G63" s="684">
        <f>Scenario!B37</f>
        <v>0.09</v>
      </c>
      <c r="H63" s="685">
        <f t="shared" ref="H63:H65" si="20">npv(G63,$G$35:$K$35)+$H$31+$H$32</f>
        <v>4511280437</v>
      </c>
      <c r="I63" s="201"/>
      <c r="J63" s="201"/>
      <c r="K63" s="201"/>
      <c r="L63" s="201"/>
      <c r="M63" s="201"/>
    </row>
    <row r="64" ht="15.75" customHeight="1">
      <c r="A64" s="201"/>
      <c r="B64" s="201"/>
      <c r="C64" s="201"/>
      <c r="D64" s="537"/>
      <c r="E64" s="432"/>
      <c r="F64" s="201"/>
      <c r="G64" s="684">
        <f>Scenario!B38</f>
        <v>0.1</v>
      </c>
      <c r="H64" s="685">
        <f t="shared" si="20"/>
        <v>4306035883</v>
      </c>
      <c r="I64" s="201"/>
      <c r="J64" s="201"/>
      <c r="K64" s="201"/>
      <c r="L64" s="201"/>
      <c r="M64" s="201"/>
    </row>
    <row r="65" ht="15.75" customHeight="1">
      <c r="A65" s="533"/>
      <c r="B65" s="533"/>
      <c r="C65" s="533"/>
      <c r="D65" s="534"/>
      <c r="E65" s="683"/>
      <c r="F65" s="533"/>
      <c r="G65" s="684">
        <f>Scenario!B39</f>
        <v>0.12</v>
      </c>
      <c r="H65" s="685">
        <f t="shared" si="20"/>
        <v>3927504205</v>
      </c>
      <c r="I65" s="533"/>
      <c r="J65" s="533"/>
      <c r="K65" s="533"/>
      <c r="L65" s="533"/>
      <c r="M65" s="533"/>
    </row>
    <row r="66" ht="15.75" customHeight="1">
      <c r="A66" s="201"/>
      <c r="B66" s="201"/>
      <c r="C66" s="201"/>
      <c r="D66" s="537"/>
      <c r="E66" s="432"/>
      <c r="F66" s="201"/>
      <c r="I66" s="201"/>
      <c r="J66" s="201"/>
      <c r="K66" s="201"/>
      <c r="L66" s="201"/>
      <c r="M66" s="201"/>
    </row>
    <row r="67" ht="15.75" customHeight="1">
      <c r="A67" s="201"/>
      <c r="B67" s="201"/>
      <c r="C67" s="201"/>
      <c r="D67" s="537"/>
      <c r="E67" s="432"/>
      <c r="F67" s="201"/>
      <c r="G67" s="201"/>
      <c r="H67" s="540"/>
      <c r="I67" s="201"/>
      <c r="J67" s="201"/>
      <c r="K67" s="201"/>
      <c r="L67" s="201"/>
      <c r="M67" s="201"/>
    </row>
    <row r="68" ht="15.75" customHeight="1">
      <c r="A68" s="201"/>
      <c r="B68" s="201"/>
      <c r="C68" s="201"/>
      <c r="D68" s="537"/>
      <c r="E68" s="432"/>
      <c r="F68" s="201"/>
      <c r="G68" s="201"/>
      <c r="H68" s="540"/>
      <c r="I68" s="201"/>
      <c r="J68" s="201"/>
      <c r="K68" s="201"/>
      <c r="L68" s="201"/>
      <c r="M68" s="201"/>
    </row>
    <row r="69" ht="15.75" customHeight="1">
      <c r="A69" s="201"/>
      <c r="B69" s="201"/>
      <c r="C69" s="201"/>
      <c r="D69" s="537"/>
      <c r="E69" s="432"/>
      <c r="F69" s="201"/>
      <c r="G69" s="201"/>
      <c r="H69" s="540"/>
      <c r="I69" s="201"/>
      <c r="J69" s="201"/>
      <c r="K69" s="201"/>
      <c r="L69" s="201"/>
      <c r="M69" s="201"/>
    </row>
    <row r="70" ht="15.75" customHeight="1">
      <c r="A70" s="540"/>
      <c r="B70" s="540"/>
      <c r="C70" s="540"/>
      <c r="D70" s="541"/>
      <c r="E70" s="462"/>
      <c r="F70" s="540"/>
      <c r="G70" s="540"/>
      <c r="H70" s="540"/>
      <c r="I70" s="540"/>
      <c r="J70" s="540"/>
      <c r="K70" s="540"/>
      <c r="L70" s="540"/>
      <c r="M70" s="540"/>
    </row>
    <row r="71" ht="15.75" customHeight="1">
      <c r="A71" s="540"/>
      <c r="B71" s="540"/>
      <c r="C71" s="540"/>
      <c r="D71" s="541"/>
      <c r="E71" s="462"/>
      <c r="F71" s="540"/>
      <c r="G71" s="540"/>
      <c r="H71" s="540"/>
      <c r="I71" s="540"/>
      <c r="J71" s="540"/>
      <c r="K71" s="540"/>
      <c r="L71" s="540"/>
      <c r="M71" s="540"/>
    </row>
    <row r="72" ht="15.75" customHeight="1">
      <c r="A72" s="201"/>
      <c r="B72" s="201"/>
      <c r="C72" s="201"/>
      <c r="D72" s="537"/>
      <c r="E72" s="432"/>
      <c r="F72" s="201"/>
      <c r="G72" s="201"/>
      <c r="H72" s="540"/>
      <c r="I72" s="201"/>
      <c r="J72" s="201"/>
      <c r="K72" s="201"/>
      <c r="L72" s="201"/>
      <c r="M72" s="201"/>
    </row>
    <row r="73" ht="15.75" customHeight="1">
      <c r="A73" s="540"/>
      <c r="B73" s="540"/>
      <c r="C73" s="540"/>
      <c r="D73" s="541"/>
      <c r="E73" s="462"/>
      <c r="F73" s="540"/>
      <c r="G73" s="540"/>
      <c r="H73" s="540"/>
      <c r="I73" s="540"/>
      <c r="J73" s="540"/>
      <c r="K73" s="540"/>
      <c r="L73" s="540"/>
      <c r="M73" s="540"/>
    </row>
    <row r="74" ht="15.75" customHeight="1">
      <c r="A74" s="201"/>
      <c r="B74" s="201"/>
      <c r="C74" s="201"/>
      <c r="D74" s="537"/>
      <c r="E74" s="432"/>
      <c r="F74" s="201"/>
      <c r="G74" s="201"/>
      <c r="H74" s="540"/>
      <c r="I74" s="201"/>
      <c r="J74" s="201"/>
      <c r="K74" s="201"/>
      <c r="L74" s="201"/>
      <c r="M74" s="201"/>
    </row>
    <row r="75" ht="15.75" customHeight="1">
      <c r="A75" s="201"/>
      <c r="B75" s="201"/>
      <c r="C75" s="201"/>
      <c r="D75" s="537"/>
      <c r="E75" s="432"/>
      <c r="F75" s="201"/>
      <c r="G75" s="201"/>
      <c r="H75" s="540"/>
      <c r="I75" s="201"/>
      <c r="J75" s="201"/>
      <c r="K75" s="201"/>
      <c r="L75" s="201"/>
      <c r="M75" s="201"/>
    </row>
    <row r="76" ht="15.75" customHeight="1">
      <c r="A76" s="298"/>
      <c r="B76" s="298"/>
      <c r="C76" s="298"/>
      <c r="D76" s="543"/>
      <c r="E76" s="641"/>
      <c r="F76" s="298"/>
      <c r="G76" s="298"/>
      <c r="H76" s="580"/>
      <c r="I76" s="298"/>
      <c r="J76" s="298"/>
      <c r="K76" s="298"/>
      <c r="L76" s="298"/>
      <c r="M76" s="298"/>
    </row>
    <row r="77" ht="15.75" customHeight="1">
      <c r="A77" s="298"/>
      <c r="B77" s="298"/>
      <c r="C77" s="298"/>
      <c r="D77" s="543"/>
      <c r="E77" s="641"/>
      <c r="F77" s="298"/>
      <c r="G77" s="298"/>
      <c r="H77" s="580"/>
      <c r="I77" s="298"/>
      <c r="J77" s="298"/>
      <c r="K77" s="298"/>
      <c r="L77" s="298"/>
      <c r="M77" s="298"/>
    </row>
    <row r="78" ht="15.75" customHeight="1">
      <c r="A78" s="298"/>
      <c r="B78" s="298"/>
      <c r="C78" s="298"/>
      <c r="D78" s="543"/>
      <c r="E78" s="641"/>
      <c r="F78" s="298"/>
      <c r="G78" s="298"/>
      <c r="H78" s="580"/>
      <c r="I78" s="298"/>
      <c r="J78" s="298"/>
      <c r="K78" s="298"/>
      <c r="L78" s="298"/>
      <c r="M78" s="298"/>
    </row>
    <row r="79" ht="15.75" customHeight="1">
      <c r="A79" s="298"/>
      <c r="B79" s="298"/>
      <c r="C79" s="298"/>
      <c r="D79" s="543"/>
      <c r="E79" s="641"/>
      <c r="F79" s="298"/>
      <c r="G79" s="298"/>
      <c r="H79" s="580"/>
      <c r="I79" s="298"/>
      <c r="J79" s="298"/>
      <c r="K79" s="298"/>
      <c r="L79" s="298"/>
      <c r="M79" s="298"/>
    </row>
    <row r="80" ht="15.75" customHeight="1">
      <c r="A80" s="298"/>
      <c r="B80" s="298"/>
      <c r="C80" s="298"/>
      <c r="D80" s="543"/>
      <c r="E80" s="641"/>
      <c r="F80" s="298"/>
      <c r="G80" s="298"/>
      <c r="H80" s="580"/>
      <c r="I80" s="298"/>
      <c r="J80" s="298"/>
      <c r="K80" s="298"/>
      <c r="L80" s="298"/>
      <c r="M80" s="298"/>
    </row>
    <row r="81" ht="15.75" customHeight="1">
      <c r="A81" s="298"/>
      <c r="B81" s="298"/>
      <c r="C81" s="298"/>
      <c r="D81" s="543"/>
      <c r="E81" s="641"/>
      <c r="F81" s="298"/>
      <c r="G81" s="298"/>
      <c r="H81" s="580"/>
      <c r="I81" s="298"/>
      <c r="J81" s="298"/>
      <c r="K81" s="298"/>
      <c r="L81" s="298"/>
      <c r="M81" s="298"/>
    </row>
    <row r="82" ht="15.75" customHeight="1">
      <c r="A82" s="298"/>
      <c r="B82" s="298"/>
      <c r="C82" s="298"/>
      <c r="D82" s="543"/>
      <c r="E82" s="641"/>
      <c r="F82" s="298"/>
      <c r="G82" s="298"/>
      <c r="H82" s="580"/>
      <c r="I82" s="298"/>
      <c r="J82" s="298"/>
      <c r="K82" s="298"/>
      <c r="L82" s="298"/>
      <c r="M82" s="298"/>
    </row>
    <row r="83" ht="15.75" customHeight="1">
      <c r="A83" s="298"/>
      <c r="B83" s="298"/>
      <c r="C83" s="298"/>
      <c r="D83" s="543"/>
      <c r="E83" s="641"/>
      <c r="F83" s="298"/>
      <c r="G83" s="298"/>
      <c r="H83" s="580"/>
      <c r="I83" s="298"/>
      <c r="J83" s="298"/>
      <c r="K83" s="298"/>
      <c r="L83" s="298"/>
      <c r="M83" s="298"/>
    </row>
    <row r="84" ht="15.75" customHeight="1">
      <c r="A84" s="298"/>
      <c r="B84" s="298"/>
      <c r="C84" s="298"/>
      <c r="D84" s="543"/>
      <c r="E84" s="641"/>
      <c r="F84" s="298"/>
      <c r="G84" s="298"/>
      <c r="H84" s="580"/>
      <c r="I84" s="298"/>
      <c r="J84" s="298"/>
      <c r="K84" s="298"/>
      <c r="L84" s="298"/>
      <c r="M84" s="298"/>
    </row>
    <row r="85" ht="15.75" customHeight="1">
      <c r="A85" s="298"/>
      <c r="B85" s="298"/>
      <c r="C85" s="298"/>
      <c r="D85" s="543"/>
      <c r="E85" s="641"/>
      <c r="F85" s="298"/>
      <c r="G85" s="298"/>
      <c r="H85" s="580"/>
      <c r="I85" s="298"/>
      <c r="J85" s="298"/>
      <c r="K85" s="298"/>
      <c r="L85" s="298"/>
      <c r="M85" s="298"/>
    </row>
    <row r="86" ht="15.75" customHeight="1">
      <c r="A86" s="298"/>
      <c r="B86" s="298"/>
      <c r="C86" s="298"/>
      <c r="D86" s="543"/>
      <c r="E86" s="641"/>
      <c r="F86" s="298"/>
      <c r="G86" s="298"/>
      <c r="H86" s="580"/>
      <c r="I86" s="298"/>
      <c r="J86" s="298"/>
      <c r="K86" s="298"/>
      <c r="L86" s="298"/>
      <c r="M86" s="298"/>
    </row>
    <row r="87" ht="15.75" customHeight="1">
      <c r="A87" s="298"/>
      <c r="B87" s="298"/>
      <c r="C87" s="298"/>
      <c r="D87" s="543"/>
      <c r="E87" s="641"/>
      <c r="F87" s="298"/>
      <c r="G87" s="298"/>
      <c r="H87" s="580"/>
      <c r="I87" s="298"/>
      <c r="J87" s="298"/>
      <c r="K87" s="298"/>
      <c r="L87" s="298"/>
      <c r="M87" s="298"/>
    </row>
    <row r="88" ht="15.75" customHeight="1">
      <c r="A88" s="298"/>
      <c r="B88" s="298"/>
      <c r="C88" s="298"/>
      <c r="D88" s="543"/>
      <c r="E88" s="641"/>
      <c r="F88" s="298"/>
      <c r="G88" s="298"/>
      <c r="H88" s="580"/>
      <c r="I88" s="298"/>
      <c r="J88" s="298"/>
      <c r="K88" s="298"/>
      <c r="L88" s="298"/>
      <c r="M88" s="298"/>
    </row>
    <row r="89" ht="15.75" customHeight="1">
      <c r="A89" s="298"/>
      <c r="B89" s="298"/>
      <c r="C89" s="298"/>
      <c r="D89" s="543"/>
      <c r="E89" s="641"/>
      <c r="F89" s="298"/>
      <c r="G89" s="298"/>
      <c r="H89" s="580"/>
      <c r="I89" s="298"/>
      <c r="J89" s="298"/>
      <c r="K89" s="298"/>
      <c r="L89" s="298"/>
      <c r="M89" s="298"/>
    </row>
    <row r="90" ht="15.75" customHeight="1">
      <c r="A90" s="298"/>
      <c r="B90" s="298"/>
      <c r="C90" s="298"/>
      <c r="D90" s="543"/>
      <c r="E90" s="641"/>
      <c r="F90" s="298"/>
      <c r="G90" s="298"/>
      <c r="H90" s="580"/>
      <c r="I90" s="298"/>
      <c r="J90" s="298"/>
      <c r="K90" s="298"/>
      <c r="L90" s="298"/>
      <c r="M90" s="298"/>
    </row>
    <row r="91" ht="15.75" customHeight="1">
      <c r="A91" s="298"/>
      <c r="B91" s="298"/>
      <c r="C91" s="298"/>
      <c r="D91" s="543"/>
      <c r="E91" s="641"/>
      <c r="F91" s="298"/>
      <c r="G91" s="298"/>
      <c r="H91" s="580"/>
      <c r="I91" s="298"/>
      <c r="J91" s="298"/>
      <c r="K91" s="298"/>
      <c r="L91" s="298"/>
      <c r="M91" s="298"/>
    </row>
    <row r="92" ht="15.75" customHeight="1">
      <c r="A92" s="298"/>
      <c r="B92" s="298"/>
      <c r="C92" s="298"/>
      <c r="D92" s="543"/>
      <c r="E92" s="641"/>
      <c r="F92" s="298"/>
      <c r="G92" s="298"/>
      <c r="H92" s="580"/>
      <c r="I92" s="298"/>
      <c r="J92" s="298"/>
      <c r="K92" s="298"/>
      <c r="L92" s="298"/>
      <c r="M92" s="298"/>
    </row>
    <row r="93" ht="15.75" customHeight="1">
      <c r="A93" s="298"/>
      <c r="B93" s="298"/>
      <c r="C93" s="298"/>
      <c r="D93" s="543"/>
      <c r="E93" s="641"/>
      <c r="F93" s="298"/>
      <c r="G93" s="298"/>
      <c r="H93" s="580"/>
      <c r="I93" s="298"/>
      <c r="J93" s="298"/>
      <c r="K93" s="298"/>
      <c r="L93" s="298"/>
      <c r="M93" s="298"/>
    </row>
    <row r="94" ht="15.75" customHeight="1">
      <c r="A94" s="298"/>
      <c r="B94" s="298"/>
      <c r="C94" s="298"/>
      <c r="D94" s="543"/>
      <c r="E94" s="641"/>
      <c r="F94" s="298"/>
      <c r="G94" s="298"/>
      <c r="H94" s="580"/>
      <c r="I94" s="298"/>
      <c r="J94" s="298"/>
      <c r="K94" s="298"/>
      <c r="L94" s="298"/>
      <c r="M94" s="298"/>
    </row>
    <row r="95" ht="15.75" customHeight="1">
      <c r="A95" s="298"/>
      <c r="B95" s="298"/>
      <c r="C95" s="298"/>
      <c r="D95" s="543"/>
      <c r="E95" s="641"/>
      <c r="F95" s="298"/>
      <c r="G95" s="298"/>
      <c r="H95" s="580"/>
      <c r="I95" s="298"/>
      <c r="J95" s="298"/>
      <c r="K95" s="298"/>
      <c r="L95" s="298"/>
      <c r="M95" s="298"/>
    </row>
    <row r="96" ht="15.75" customHeight="1">
      <c r="A96" s="298"/>
      <c r="B96" s="298"/>
      <c r="C96" s="298"/>
      <c r="D96" s="543"/>
      <c r="E96" s="641"/>
      <c r="F96" s="298"/>
      <c r="G96" s="298"/>
      <c r="H96" s="580"/>
      <c r="I96" s="298"/>
      <c r="J96" s="298"/>
      <c r="K96" s="298"/>
      <c r="L96" s="298"/>
      <c r="M96" s="298"/>
    </row>
    <row r="97" ht="15.75" customHeight="1">
      <c r="A97" s="298"/>
      <c r="B97" s="298"/>
      <c r="C97" s="298"/>
      <c r="D97" s="543"/>
      <c r="E97" s="641"/>
      <c r="F97" s="298"/>
      <c r="G97" s="298"/>
      <c r="H97" s="580"/>
      <c r="I97" s="298"/>
      <c r="J97" s="298"/>
      <c r="K97" s="298"/>
      <c r="L97" s="298"/>
      <c r="M97" s="298"/>
    </row>
    <row r="98" ht="15.75" customHeight="1">
      <c r="A98" s="298"/>
      <c r="B98" s="298"/>
      <c r="C98" s="298"/>
      <c r="D98" s="543"/>
      <c r="E98" s="641"/>
      <c r="F98" s="298"/>
      <c r="G98" s="298"/>
      <c r="H98" s="580"/>
      <c r="I98" s="298"/>
      <c r="J98" s="298"/>
      <c r="K98" s="298"/>
      <c r="L98" s="298"/>
      <c r="M98" s="298"/>
    </row>
    <row r="99" ht="15.75" customHeight="1">
      <c r="A99" s="298"/>
      <c r="B99" s="298"/>
      <c r="C99" s="298"/>
      <c r="D99" s="543"/>
      <c r="E99" s="641"/>
      <c r="F99" s="298"/>
      <c r="G99" s="298"/>
      <c r="H99" s="580"/>
      <c r="I99" s="298"/>
      <c r="J99" s="298"/>
      <c r="K99" s="298"/>
      <c r="L99" s="298"/>
      <c r="M99" s="298"/>
    </row>
    <row r="100" ht="15.75" customHeight="1">
      <c r="A100" s="298"/>
      <c r="B100" s="298"/>
      <c r="C100" s="298"/>
      <c r="D100" s="543"/>
      <c r="E100" s="641"/>
      <c r="F100" s="298"/>
      <c r="G100" s="298"/>
      <c r="H100" s="580"/>
      <c r="I100" s="298"/>
      <c r="J100" s="298"/>
      <c r="K100" s="298"/>
      <c r="L100" s="298"/>
      <c r="M100" s="298"/>
    </row>
    <row r="101" ht="15.75" customHeight="1">
      <c r="A101" s="298"/>
      <c r="B101" s="298"/>
      <c r="C101" s="298"/>
      <c r="D101" s="543"/>
      <c r="E101" s="641"/>
      <c r="F101" s="298"/>
      <c r="G101" s="298"/>
      <c r="H101" s="580"/>
      <c r="I101" s="298"/>
      <c r="J101" s="298"/>
      <c r="K101" s="298"/>
      <c r="L101" s="298"/>
      <c r="M101" s="298"/>
    </row>
    <row r="102" ht="15.75" customHeight="1">
      <c r="A102" s="298"/>
      <c r="B102" s="298"/>
      <c r="C102" s="298"/>
      <c r="D102" s="543"/>
      <c r="E102" s="641"/>
      <c r="F102" s="298"/>
      <c r="G102" s="298"/>
      <c r="H102" s="580"/>
      <c r="I102" s="298"/>
      <c r="J102" s="298"/>
      <c r="K102" s="298"/>
      <c r="L102" s="298"/>
      <c r="M102" s="298"/>
    </row>
    <row r="103" ht="15.75" customHeight="1">
      <c r="A103" s="298"/>
      <c r="B103" s="298"/>
      <c r="C103" s="298"/>
      <c r="D103" s="543"/>
      <c r="E103" s="641"/>
      <c r="F103" s="298"/>
      <c r="G103" s="298"/>
      <c r="H103" s="580"/>
      <c r="I103" s="298"/>
      <c r="J103" s="298"/>
      <c r="K103" s="298"/>
      <c r="L103" s="298"/>
      <c r="M103" s="298"/>
    </row>
    <row r="104" ht="15.75" customHeight="1">
      <c r="A104" s="298"/>
      <c r="B104" s="298"/>
      <c r="C104" s="298"/>
      <c r="D104" s="543"/>
      <c r="E104" s="641"/>
      <c r="F104" s="298"/>
      <c r="G104" s="298"/>
      <c r="H104" s="580"/>
      <c r="I104" s="298"/>
      <c r="J104" s="298"/>
      <c r="K104" s="298"/>
      <c r="L104" s="298"/>
      <c r="M104" s="298"/>
    </row>
    <row r="105" ht="15.75" customHeight="1">
      <c r="A105" s="298"/>
      <c r="B105" s="298"/>
      <c r="C105" s="298"/>
      <c r="D105" s="543"/>
      <c r="E105" s="641"/>
      <c r="F105" s="298"/>
      <c r="G105" s="298"/>
      <c r="H105" s="580"/>
      <c r="I105" s="298"/>
      <c r="J105" s="298"/>
      <c r="K105" s="298"/>
      <c r="L105" s="298"/>
      <c r="M105" s="298"/>
    </row>
    <row r="106" ht="15.75" customHeight="1">
      <c r="A106" s="298"/>
      <c r="B106" s="298"/>
      <c r="C106" s="298"/>
      <c r="D106" s="543"/>
      <c r="E106" s="641"/>
      <c r="F106" s="298"/>
      <c r="G106" s="298"/>
      <c r="H106" s="580"/>
      <c r="I106" s="298"/>
      <c r="J106" s="298"/>
      <c r="K106" s="298"/>
      <c r="L106" s="298"/>
      <c r="M106" s="298"/>
    </row>
    <row r="107" ht="15.75" customHeight="1">
      <c r="A107" s="298"/>
      <c r="B107" s="298"/>
      <c r="C107" s="298"/>
      <c r="D107" s="543"/>
      <c r="E107" s="641"/>
      <c r="F107" s="298"/>
      <c r="G107" s="298"/>
      <c r="H107" s="580"/>
      <c r="I107" s="298"/>
      <c r="J107" s="298"/>
      <c r="K107" s="298"/>
      <c r="L107" s="298"/>
      <c r="M107" s="298"/>
    </row>
    <row r="108" ht="15.75" customHeight="1">
      <c r="A108" s="298"/>
      <c r="B108" s="298"/>
      <c r="C108" s="298"/>
      <c r="D108" s="543"/>
      <c r="E108" s="641"/>
      <c r="F108" s="298"/>
      <c r="G108" s="298"/>
      <c r="H108" s="580"/>
      <c r="I108" s="298"/>
      <c r="J108" s="298"/>
      <c r="K108" s="298"/>
      <c r="L108" s="298"/>
      <c r="M108" s="298"/>
    </row>
    <row r="109" ht="15.75" customHeight="1">
      <c r="A109" s="298"/>
      <c r="B109" s="298"/>
      <c r="C109" s="298"/>
      <c r="D109" s="543"/>
      <c r="E109" s="641"/>
      <c r="F109" s="298"/>
      <c r="G109" s="298"/>
      <c r="H109" s="580"/>
      <c r="I109" s="298"/>
      <c r="J109" s="298"/>
      <c r="K109" s="298"/>
      <c r="L109" s="298"/>
      <c r="M109" s="298"/>
    </row>
    <row r="110" ht="15.75" customHeight="1">
      <c r="A110" s="298"/>
      <c r="B110" s="298"/>
      <c r="C110" s="298"/>
      <c r="D110" s="543"/>
      <c r="E110" s="641"/>
      <c r="F110" s="298"/>
      <c r="G110" s="298"/>
      <c r="H110" s="580"/>
      <c r="I110" s="298"/>
      <c r="J110" s="298"/>
      <c r="K110" s="298"/>
      <c r="L110" s="298"/>
      <c r="M110" s="298"/>
    </row>
    <row r="111" ht="15.75" customHeight="1">
      <c r="A111" s="298"/>
      <c r="B111" s="298"/>
      <c r="C111" s="298"/>
      <c r="D111" s="543"/>
      <c r="E111" s="641"/>
      <c r="F111" s="298"/>
      <c r="G111" s="298"/>
      <c r="H111" s="580"/>
      <c r="I111" s="298"/>
      <c r="J111" s="298"/>
      <c r="K111" s="298"/>
      <c r="L111" s="298"/>
      <c r="M111" s="298"/>
    </row>
    <row r="112" ht="15.75" customHeight="1">
      <c r="A112" s="298"/>
      <c r="B112" s="298"/>
      <c r="C112" s="298"/>
      <c r="D112" s="543"/>
      <c r="E112" s="641"/>
      <c r="F112" s="298"/>
      <c r="G112" s="298"/>
      <c r="H112" s="580"/>
      <c r="I112" s="298"/>
      <c r="J112" s="298"/>
      <c r="K112" s="298"/>
      <c r="L112" s="298"/>
      <c r="M112" s="298"/>
    </row>
    <row r="113" ht="15.75" customHeight="1">
      <c r="A113" s="298"/>
      <c r="B113" s="298"/>
      <c r="C113" s="298"/>
      <c r="D113" s="543"/>
      <c r="E113" s="641"/>
      <c r="F113" s="298"/>
      <c r="G113" s="298"/>
      <c r="H113" s="580"/>
      <c r="I113" s="298"/>
      <c r="J113" s="298"/>
      <c r="K113" s="298"/>
      <c r="L113" s="298"/>
      <c r="M113" s="298"/>
    </row>
    <row r="114" ht="15.75" customHeight="1">
      <c r="A114" s="298"/>
      <c r="B114" s="298"/>
      <c r="C114" s="298"/>
      <c r="D114" s="543"/>
      <c r="E114" s="641"/>
      <c r="F114" s="298"/>
      <c r="G114" s="298"/>
      <c r="H114" s="580"/>
      <c r="I114" s="298"/>
      <c r="J114" s="298"/>
      <c r="K114" s="298"/>
      <c r="L114" s="298"/>
      <c r="M114" s="298"/>
    </row>
    <row r="115" ht="15.75" customHeight="1">
      <c r="A115" s="298"/>
      <c r="B115" s="298"/>
      <c r="C115" s="298"/>
      <c r="D115" s="543"/>
      <c r="E115" s="641"/>
      <c r="F115" s="298"/>
      <c r="G115" s="298"/>
      <c r="H115" s="580"/>
      <c r="I115" s="298"/>
      <c r="J115" s="298"/>
      <c r="K115" s="298"/>
      <c r="L115" s="298"/>
      <c r="M115" s="298"/>
    </row>
    <row r="116" ht="15.75" customHeight="1">
      <c r="A116" s="298"/>
      <c r="B116" s="298"/>
      <c r="C116" s="298"/>
      <c r="D116" s="543"/>
      <c r="E116" s="641"/>
      <c r="F116" s="298"/>
      <c r="G116" s="298"/>
      <c r="H116" s="580"/>
      <c r="I116" s="298"/>
      <c r="J116" s="298"/>
      <c r="K116" s="298"/>
      <c r="L116" s="298"/>
      <c r="M116" s="298"/>
    </row>
    <row r="117" ht="15.75" customHeight="1">
      <c r="A117" s="298"/>
      <c r="B117" s="298"/>
      <c r="C117" s="298"/>
      <c r="D117" s="543"/>
      <c r="E117" s="641"/>
      <c r="F117" s="298"/>
      <c r="G117" s="298"/>
      <c r="H117" s="580"/>
      <c r="I117" s="298"/>
      <c r="J117" s="298"/>
      <c r="K117" s="298"/>
      <c r="L117" s="298"/>
      <c r="M117" s="298"/>
    </row>
    <row r="118" ht="15.75" customHeight="1">
      <c r="A118" s="298"/>
      <c r="B118" s="298"/>
      <c r="C118" s="298"/>
      <c r="D118" s="543"/>
      <c r="E118" s="641"/>
      <c r="F118" s="298"/>
      <c r="G118" s="298"/>
      <c r="H118" s="580"/>
      <c r="I118" s="298"/>
      <c r="J118" s="298"/>
      <c r="K118" s="298"/>
      <c r="L118" s="298"/>
      <c r="M118" s="298"/>
    </row>
    <row r="119" ht="15.75" customHeight="1">
      <c r="A119" s="298"/>
      <c r="B119" s="298"/>
      <c r="C119" s="298"/>
      <c r="D119" s="543"/>
      <c r="E119" s="641"/>
      <c r="F119" s="298"/>
      <c r="G119" s="298"/>
      <c r="H119" s="580"/>
      <c r="I119" s="298"/>
      <c r="J119" s="298"/>
      <c r="K119" s="298"/>
      <c r="L119" s="298"/>
      <c r="M119" s="298"/>
    </row>
    <row r="120" ht="15.75" customHeight="1">
      <c r="A120" s="298"/>
      <c r="B120" s="298"/>
      <c r="C120" s="298"/>
      <c r="D120" s="543"/>
      <c r="E120" s="641"/>
      <c r="F120" s="298"/>
      <c r="G120" s="298"/>
      <c r="H120" s="580"/>
      <c r="I120" s="298"/>
      <c r="J120" s="298"/>
      <c r="K120" s="298"/>
      <c r="L120" s="298"/>
      <c r="M120" s="298"/>
    </row>
    <row r="121" ht="15.75" customHeight="1">
      <c r="A121" s="298"/>
      <c r="B121" s="298"/>
      <c r="C121" s="298"/>
      <c r="D121" s="543"/>
      <c r="E121" s="641"/>
      <c r="F121" s="298"/>
      <c r="G121" s="298"/>
      <c r="H121" s="580"/>
      <c r="I121" s="298"/>
      <c r="J121" s="298"/>
      <c r="K121" s="298"/>
      <c r="L121" s="298"/>
      <c r="M121" s="298"/>
    </row>
    <row r="122" ht="15.75" customHeight="1">
      <c r="A122" s="298"/>
      <c r="B122" s="298"/>
      <c r="C122" s="298"/>
      <c r="D122" s="543"/>
      <c r="E122" s="641"/>
      <c r="F122" s="298"/>
      <c r="G122" s="298"/>
      <c r="H122" s="580"/>
      <c r="I122" s="298"/>
      <c r="J122" s="298"/>
      <c r="K122" s="298"/>
      <c r="L122" s="298"/>
      <c r="M122" s="298"/>
    </row>
    <row r="123" ht="15.75" customHeight="1">
      <c r="A123" s="298"/>
      <c r="B123" s="298"/>
      <c r="C123" s="298"/>
      <c r="D123" s="543"/>
      <c r="E123" s="641"/>
      <c r="F123" s="298"/>
      <c r="G123" s="298"/>
      <c r="H123" s="580"/>
      <c r="I123" s="298"/>
      <c r="J123" s="298"/>
      <c r="K123" s="298"/>
      <c r="L123" s="298"/>
      <c r="M123" s="298"/>
    </row>
    <row r="124" ht="15.75" customHeight="1">
      <c r="A124" s="298"/>
      <c r="B124" s="298"/>
      <c r="C124" s="298"/>
      <c r="D124" s="543"/>
      <c r="E124" s="641"/>
      <c r="F124" s="298"/>
      <c r="G124" s="298"/>
      <c r="H124" s="580"/>
      <c r="I124" s="298"/>
      <c r="J124" s="298"/>
      <c r="K124" s="298"/>
      <c r="L124" s="298"/>
      <c r="M124" s="298"/>
    </row>
    <row r="125" ht="15.75" customHeight="1">
      <c r="A125" s="298"/>
      <c r="B125" s="298"/>
      <c r="C125" s="298"/>
      <c r="D125" s="543"/>
      <c r="E125" s="641"/>
      <c r="F125" s="298"/>
      <c r="G125" s="298"/>
      <c r="H125" s="580"/>
      <c r="I125" s="298"/>
      <c r="J125" s="298"/>
      <c r="K125" s="298"/>
      <c r="L125" s="298"/>
      <c r="M125" s="298"/>
    </row>
    <row r="126" ht="15.75" customHeight="1">
      <c r="A126" s="298"/>
      <c r="B126" s="298"/>
      <c r="C126" s="298"/>
      <c r="D126" s="543"/>
      <c r="E126" s="641"/>
      <c r="F126" s="298"/>
      <c r="G126" s="298"/>
      <c r="H126" s="580"/>
      <c r="I126" s="298"/>
      <c r="J126" s="298"/>
      <c r="K126" s="298"/>
      <c r="L126" s="298"/>
      <c r="M126" s="298"/>
    </row>
    <row r="127" ht="15.75" customHeight="1">
      <c r="A127" s="298"/>
      <c r="B127" s="298"/>
      <c r="C127" s="298"/>
      <c r="D127" s="543"/>
      <c r="E127" s="641"/>
      <c r="F127" s="298"/>
      <c r="G127" s="298"/>
      <c r="H127" s="580"/>
      <c r="I127" s="298"/>
      <c r="J127" s="298"/>
      <c r="K127" s="298"/>
      <c r="L127" s="298"/>
      <c r="M127" s="298"/>
    </row>
    <row r="128" ht="15.75" customHeight="1">
      <c r="A128" s="298"/>
      <c r="B128" s="298"/>
      <c r="C128" s="298"/>
      <c r="D128" s="543"/>
      <c r="E128" s="641"/>
      <c r="F128" s="298"/>
      <c r="G128" s="298"/>
      <c r="H128" s="580"/>
      <c r="I128" s="298"/>
      <c r="J128" s="298"/>
      <c r="K128" s="298"/>
      <c r="L128" s="298"/>
      <c r="M128" s="298"/>
    </row>
    <row r="129" ht="15.75" customHeight="1">
      <c r="A129" s="298"/>
      <c r="B129" s="298"/>
      <c r="C129" s="298"/>
      <c r="D129" s="543"/>
      <c r="E129" s="641"/>
      <c r="F129" s="298"/>
      <c r="G129" s="298"/>
      <c r="H129" s="580"/>
      <c r="I129" s="298"/>
      <c r="J129" s="298"/>
      <c r="K129" s="298"/>
      <c r="L129" s="298"/>
      <c r="M129" s="298"/>
    </row>
    <row r="130" ht="15.75" customHeight="1">
      <c r="A130" s="298"/>
      <c r="B130" s="298"/>
      <c r="C130" s="298"/>
      <c r="D130" s="543"/>
      <c r="E130" s="641"/>
      <c r="F130" s="298"/>
      <c r="G130" s="298"/>
      <c r="H130" s="580"/>
      <c r="I130" s="298"/>
      <c r="J130" s="298"/>
      <c r="K130" s="298"/>
      <c r="L130" s="298"/>
      <c r="M130" s="298"/>
    </row>
    <row r="131" ht="15.75" customHeight="1">
      <c r="A131" s="298"/>
      <c r="B131" s="298"/>
      <c r="C131" s="298"/>
      <c r="D131" s="543"/>
      <c r="E131" s="641"/>
      <c r="F131" s="298"/>
      <c r="G131" s="298"/>
      <c r="H131" s="580"/>
      <c r="I131" s="298"/>
      <c r="J131" s="298"/>
      <c r="K131" s="298"/>
      <c r="L131" s="298"/>
      <c r="M131" s="298"/>
    </row>
    <row r="132" ht="15.75" customHeight="1">
      <c r="A132" s="298"/>
      <c r="B132" s="298"/>
      <c r="C132" s="298"/>
      <c r="D132" s="543"/>
      <c r="E132" s="641"/>
      <c r="F132" s="298"/>
      <c r="G132" s="298"/>
      <c r="H132" s="580"/>
      <c r="I132" s="298"/>
      <c r="J132" s="298"/>
      <c r="K132" s="298"/>
      <c r="L132" s="298"/>
      <c r="M132" s="298"/>
    </row>
    <row r="133" ht="15.75" customHeight="1">
      <c r="A133" s="298"/>
      <c r="B133" s="298"/>
      <c r="C133" s="298"/>
      <c r="D133" s="543"/>
      <c r="E133" s="641"/>
      <c r="F133" s="298"/>
      <c r="G133" s="298"/>
      <c r="H133" s="580"/>
      <c r="I133" s="298"/>
      <c r="J133" s="298"/>
      <c r="K133" s="298"/>
      <c r="L133" s="298"/>
      <c r="M133" s="298"/>
    </row>
    <row r="134" ht="15.75" customHeight="1">
      <c r="A134" s="298"/>
      <c r="B134" s="298"/>
      <c r="C134" s="298"/>
      <c r="D134" s="543"/>
      <c r="E134" s="641"/>
      <c r="F134" s="298"/>
      <c r="G134" s="298"/>
      <c r="H134" s="580"/>
      <c r="I134" s="298"/>
      <c r="J134" s="298"/>
      <c r="K134" s="298"/>
      <c r="L134" s="298"/>
      <c r="M134" s="298"/>
    </row>
    <row r="135" ht="15.75" customHeight="1">
      <c r="A135" s="298"/>
      <c r="B135" s="298"/>
      <c r="C135" s="298"/>
      <c r="D135" s="543"/>
      <c r="E135" s="641"/>
      <c r="F135" s="298"/>
      <c r="G135" s="298"/>
      <c r="H135" s="580"/>
      <c r="I135" s="298"/>
      <c r="J135" s="298"/>
      <c r="K135" s="298"/>
      <c r="L135" s="298"/>
      <c r="M135" s="298"/>
    </row>
    <row r="136" ht="15.75" customHeight="1">
      <c r="A136" s="298"/>
      <c r="B136" s="298"/>
      <c r="C136" s="298"/>
      <c r="D136" s="543"/>
      <c r="E136" s="641"/>
      <c r="F136" s="298"/>
      <c r="G136" s="298"/>
      <c r="H136" s="580"/>
      <c r="I136" s="298"/>
      <c r="J136" s="298"/>
      <c r="K136" s="298"/>
      <c r="L136" s="298"/>
      <c r="M136" s="298"/>
    </row>
    <row r="137" ht="15.75" customHeight="1">
      <c r="A137" s="298"/>
      <c r="B137" s="298"/>
      <c r="C137" s="298"/>
      <c r="D137" s="543"/>
      <c r="E137" s="641"/>
      <c r="F137" s="298"/>
      <c r="G137" s="298"/>
      <c r="H137" s="580"/>
      <c r="I137" s="298"/>
      <c r="J137" s="298"/>
      <c r="K137" s="298"/>
      <c r="L137" s="298"/>
      <c r="M137" s="298"/>
    </row>
    <row r="138" ht="15.75" customHeight="1">
      <c r="A138" s="298"/>
      <c r="B138" s="298"/>
      <c r="C138" s="298"/>
      <c r="D138" s="543"/>
      <c r="E138" s="641"/>
      <c r="F138" s="298"/>
      <c r="G138" s="298"/>
      <c r="H138" s="580"/>
      <c r="I138" s="298"/>
      <c r="J138" s="298"/>
      <c r="K138" s="298"/>
      <c r="L138" s="298"/>
      <c r="M138" s="298"/>
    </row>
    <row r="139" ht="15.75" customHeight="1">
      <c r="A139" s="298"/>
      <c r="B139" s="298"/>
      <c r="C139" s="298"/>
      <c r="D139" s="543"/>
      <c r="E139" s="641"/>
      <c r="F139" s="298"/>
      <c r="G139" s="298"/>
      <c r="H139" s="580"/>
      <c r="I139" s="298"/>
      <c r="J139" s="298"/>
      <c r="K139" s="298"/>
      <c r="L139" s="298"/>
      <c r="M139" s="298"/>
    </row>
    <row r="140" ht="15.75" customHeight="1">
      <c r="A140" s="298"/>
      <c r="B140" s="298"/>
      <c r="C140" s="298"/>
      <c r="D140" s="543"/>
      <c r="E140" s="641"/>
      <c r="F140" s="298"/>
      <c r="G140" s="298"/>
      <c r="H140" s="580"/>
      <c r="I140" s="298"/>
      <c r="J140" s="298"/>
      <c r="K140" s="298"/>
      <c r="L140" s="298"/>
      <c r="M140" s="298"/>
    </row>
    <row r="141" ht="15.75" customHeight="1">
      <c r="A141" s="298"/>
      <c r="B141" s="298"/>
      <c r="C141" s="298"/>
      <c r="D141" s="543"/>
      <c r="E141" s="641"/>
      <c r="F141" s="298"/>
      <c r="G141" s="298"/>
      <c r="H141" s="580"/>
      <c r="I141" s="298"/>
      <c r="J141" s="298"/>
      <c r="K141" s="298"/>
      <c r="L141" s="298"/>
      <c r="M141" s="298"/>
    </row>
    <row r="142" ht="15.75" customHeight="1">
      <c r="A142" s="298"/>
      <c r="B142" s="298"/>
      <c r="C142" s="298"/>
      <c r="D142" s="543"/>
      <c r="E142" s="641"/>
      <c r="F142" s="298"/>
      <c r="G142" s="298"/>
      <c r="H142" s="580"/>
      <c r="I142" s="298"/>
      <c r="J142" s="298"/>
      <c r="K142" s="298"/>
      <c r="L142" s="298"/>
      <c r="M142" s="298"/>
    </row>
    <row r="143" ht="15.75" customHeight="1">
      <c r="A143" s="298"/>
      <c r="B143" s="298"/>
      <c r="C143" s="298"/>
      <c r="D143" s="543"/>
      <c r="E143" s="641"/>
      <c r="F143" s="298"/>
      <c r="G143" s="298"/>
      <c r="H143" s="580"/>
      <c r="I143" s="298"/>
      <c r="J143" s="298"/>
      <c r="K143" s="298"/>
      <c r="L143" s="298"/>
      <c r="M143" s="298"/>
    </row>
    <row r="144" ht="15.75" customHeight="1">
      <c r="A144" s="298"/>
      <c r="B144" s="298"/>
      <c r="C144" s="298"/>
      <c r="D144" s="543"/>
      <c r="E144" s="641"/>
      <c r="F144" s="298"/>
      <c r="G144" s="298"/>
      <c r="H144" s="580"/>
      <c r="I144" s="298"/>
      <c r="J144" s="298"/>
      <c r="K144" s="298"/>
      <c r="L144" s="298"/>
      <c r="M144" s="298"/>
    </row>
    <row r="145" ht="15.75" customHeight="1">
      <c r="A145" s="298"/>
      <c r="B145" s="298"/>
      <c r="C145" s="298"/>
      <c r="D145" s="543"/>
      <c r="E145" s="641"/>
      <c r="F145" s="298"/>
      <c r="G145" s="298"/>
      <c r="H145" s="580"/>
      <c r="I145" s="298"/>
      <c r="J145" s="298"/>
      <c r="K145" s="298"/>
      <c r="L145" s="298"/>
      <c r="M145" s="298"/>
    </row>
    <row r="146" ht="15.75" customHeight="1">
      <c r="A146" s="298"/>
      <c r="B146" s="298"/>
      <c r="C146" s="298"/>
      <c r="D146" s="543"/>
      <c r="E146" s="641"/>
      <c r="F146" s="298"/>
      <c r="G146" s="298"/>
      <c r="H146" s="580"/>
      <c r="I146" s="298"/>
      <c r="J146" s="298"/>
      <c r="K146" s="298"/>
      <c r="L146" s="298"/>
      <c r="M146" s="298"/>
    </row>
    <row r="147" ht="15.75" customHeight="1">
      <c r="A147" s="298"/>
      <c r="B147" s="298"/>
      <c r="C147" s="298"/>
      <c r="D147" s="543"/>
      <c r="E147" s="641"/>
      <c r="F147" s="298"/>
      <c r="G147" s="298"/>
      <c r="H147" s="580"/>
      <c r="I147" s="298"/>
      <c r="J147" s="298"/>
      <c r="K147" s="298"/>
      <c r="L147" s="298"/>
      <c r="M147" s="298"/>
    </row>
    <row r="148" ht="15.75" customHeight="1">
      <c r="A148" s="298"/>
      <c r="B148" s="298"/>
      <c r="C148" s="298"/>
      <c r="D148" s="543"/>
      <c r="E148" s="641"/>
      <c r="F148" s="298"/>
      <c r="G148" s="298"/>
      <c r="H148" s="580"/>
      <c r="I148" s="298"/>
      <c r="J148" s="298"/>
      <c r="K148" s="298"/>
      <c r="L148" s="298"/>
      <c r="M148" s="298"/>
    </row>
    <row r="149" ht="15.75" customHeight="1">
      <c r="A149" s="298"/>
      <c r="B149" s="298"/>
      <c r="C149" s="298"/>
      <c r="D149" s="543"/>
      <c r="E149" s="641"/>
      <c r="F149" s="298"/>
      <c r="G149" s="298"/>
      <c r="H149" s="580"/>
      <c r="I149" s="298"/>
      <c r="J149" s="298"/>
      <c r="K149" s="298"/>
      <c r="L149" s="298"/>
      <c r="M149" s="298"/>
    </row>
    <row r="150" ht="15.75" customHeight="1">
      <c r="A150" s="298"/>
      <c r="B150" s="298"/>
      <c r="C150" s="298"/>
      <c r="D150" s="543"/>
      <c r="E150" s="641"/>
      <c r="F150" s="298"/>
      <c r="G150" s="298"/>
      <c r="H150" s="580"/>
      <c r="I150" s="298"/>
      <c r="J150" s="298"/>
      <c r="K150" s="298"/>
      <c r="L150" s="298"/>
      <c r="M150" s="298"/>
    </row>
    <row r="151" ht="15.75" customHeight="1">
      <c r="A151" s="298"/>
      <c r="B151" s="298"/>
      <c r="C151" s="298"/>
      <c r="D151" s="543"/>
      <c r="E151" s="641"/>
      <c r="F151" s="298"/>
      <c r="G151" s="298"/>
      <c r="H151" s="580"/>
      <c r="I151" s="298"/>
      <c r="J151" s="298"/>
      <c r="K151" s="298"/>
      <c r="L151" s="298"/>
      <c r="M151" s="298"/>
    </row>
    <row r="152" ht="15.75" customHeight="1">
      <c r="A152" s="298"/>
      <c r="B152" s="298"/>
      <c r="C152" s="298"/>
      <c r="D152" s="543"/>
      <c r="E152" s="641"/>
      <c r="F152" s="298"/>
      <c r="G152" s="298"/>
      <c r="H152" s="580"/>
      <c r="I152" s="298"/>
      <c r="J152" s="298"/>
      <c r="K152" s="298"/>
      <c r="L152" s="298"/>
      <c r="M152" s="298"/>
    </row>
    <row r="153" ht="15.75" customHeight="1">
      <c r="A153" s="298"/>
      <c r="B153" s="298"/>
      <c r="C153" s="298"/>
      <c r="D153" s="543"/>
      <c r="E153" s="641"/>
      <c r="F153" s="298"/>
      <c r="G153" s="298"/>
      <c r="H153" s="580"/>
      <c r="I153" s="298"/>
      <c r="J153" s="298"/>
      <c r="K153" s="298"/>
      <c r="L153" s="298"/>
      <c r="M153" s="298"/>
    </row>
    <row r="154" ht="15.75" customHeight="1">
      <c r="A154" s="298"/>
      <c r="B154" s="298"/>
      <c r="C154" s="298"/>
      <c r="D154" s="543"/>
      <c r="E154" s="641"/>
      <c r="F154" s="298"/>
      <c r="G154" s="298"/>
      <c r="H154" s="580"/>
      <c r="I154" s="298"/>
      <c r="J154" s="298"/>
      <c r="K154" s="298"/>
      <c r="L154" s="298"/>
      <c r="M154" s="298"/>
    </row>
    <row r="155" ht="15.75" customHeight="1">
      <c r="A155" s="298"/>
      <c r="B155" s="298"/>
      <c r="C155" s="298"/>
      <c r="D155" s="543"/>
      <c r="E155" s="641"/>
      <c r="F155" s="298"/>
      <c r="G155" s="298"/>
      <c r="H155" s="580"/>
      <c r="I155" s="298"/>
      <c r="J155" s="298"/>
      <c r="K155" s="298"/>
      <c r="L155" s="298"/>
      <c r="M155" s="298"/>
    </row>
    <row r="156" ht="15.75" customHeight="1">
      <c r="A156" s="298"/>
      <c r="B156" s="298"/>
      <c r="C156" s="298"/>
      <c r="D156" s="543"/>
      <c r="E156" s="641"/>
      <c r="F156" s="298"/>
      <c r="G156" s="298"/>
      <c r="H156" s="580"/>
      <c r="I156" s="298"/>
      <c r="J156" s="298"/>
      <c r="K156" s="298"/>
      <c r="L156" s="298"/>
      <c r="M156" s="298"/>
    </row>
    <row r="157" ht="15.75" customHeight="1">
      <c r="A157" s="298"/>
      <c r="B157" s="298"/>
      <c r="C157" s="298"/>
      <c r="D157" s="543"/>
      <c r="E157" s="641"/>
      <c r="F157" s="298"/>
      <c r="G157" s="298"/>
      <c r="H157" s="580"/>
      <c r="I157" s="298"/>
      <c r="J157" s="298"/>
      <c r="K157" s="298"/>
      <c r="L157" s="298"/>
      <c r="M157" s="298"/>
    </row>
    <row r="158" ht="15.75" customHeight="1">
      <c r="A158" s="298"/>
      <c r="B158" s="298"/>
      <c r="C158" s="298"/>
      <c r="D158" s="543"/>
      <c r="E158" s="641"/>
      <c r="F158" s="298"/>
      <c r="G158" s="298"/>
      <c r="H158" s="580"/>
      <c r="I158" s="298"/>
      <c r="J158" s="298"/>
      <c r="K158" s="298"/>
      <c r="L158" s="298"/>
      <c r="M158" s="298"/>
    </row>
    <row r="159" ht="15.75" customHeight="1">
      <c r="A159" s="298"/>
      <c r="B159" s="298"/>
      <c r="C159" s="298"/>
      <c r="D159" s="543"/>
      <c r="E159" s="641"/>
      <c r="F159" s="298"/>
      <c r="G159" s="298"/>
      <c r="H159" s="580"/>
      <c r="I159" s="298"/>
      <c r="J159" s="298"/>
      <c r="K159" s="298"/>
      <c r="L159" s="298"/>
      <c r="M159" s="298"/>
    </row>
    <row r="160" ht="15.75" customHeight="1">
      <c r="A160" s="298"/>
      <c r="B160" s="298"/>
      <c r="C160" s="298"/>
      <c r="D160" s="543"/>
      <c r="E160" s="641"/>
      <c r="F160" s="298"/>
      <c r="G160" s="298"/>
      <c r="H160" s="580"/>
      <c r="I160" s="298"/>
      <c r="J160" s="298"/>
      <c r="K160" s="298"/>
      <c r="L160" s="298"/>
      <c r="M160" s="298"/>
    </row>
    <row r="161" ht="15.75" customHeight="1">
      <c r="A161" s="298"/>
      <c r="B161" s="298"/>
      <c r="C161" s="298"/>
      <c r="D161" s="543"/>
      <c r="E161" s="641"/>
      <c r="F161" s="298"/>
      <c r="G161" s="298"/>
      <c r="H161" s="580"/>
      <c r="I161" s="298"/>
      <c r="J161" s="298"/>
      <c r="K161" s="298"/>
      <c r="L161" s="298"/>
      <c r="M161" s="298"/>
    </row>
    <row r="162" ht="15.75" customHeight="1">
      <c r="A162" s="298"/>
      <c r="B162" s="298"/>
      <c r="C162" s="298"/>
      <c r="D162" s="543"/>
      <c r="E162" s="641"/>
      <c r="F162" s="298"/>
      <c r="G162" s="298"/>
      <c r="H162" s="580"/>
      <c r="I162" s="298"/>
      <c r="J162" s="298"/>
      <c r="K162" s="298"/>
      <c r="L162" s="298"/>
      <c r="M162" s="298"/>
    </row>
    <row r="163" ht="15.75" customHeight="1">
      <c r="A163" s="298"/>
      <c r="B163" s="298"/>
      <c r="C163" s="298"/>
      <c r="D163" s="543"/>
      <c r="E163" s="641"/>
      <c r="F163" s="298"/>
      <c r="G163" s="298"/>
      <c r="H163" s="580"/>
      <c r="I163" s="298"/>
      <c r="J163" s="298"/>
      <c r="K163" s="298"/>
      <c r="L163" s="298"/>
      <c r="M163" s="298"/>
    </row>
    <row r="164" ht="15.75" customHeight="1">
      <c r="A164" s="298"/>
      <c r="B164" s="298"/>
      <c r="C164" s="298"/>
      <c r="D164" s="543"/>
      <c r="E164" s="641"/>
      <c r="F164" s="298"/>
      <c r="G164" s="298"/>
      <c r="H164" s="580"/>
      <c r="I164" s="298"/>
      <c r="J164" s="298"/>
      <c r="K164" s="298"/>
      <c r="L164" s="298"/>
      <c r="M164" s="298"/>
    </row>
    <row r="165" ht="15.75" customHeight="1">
      <c r="A165" s="298"/>
      <c r="B165" s="298"/>
      <c r="C165" s="298"/>
      <c r="D165" s="543"/>
      <c r="E165" s="641"/>
      <c r="F165" s="298"/>
      <c r="G165" s="298"/>
      <c r="H165" s="580"/>
      <c r="I165" s="298"/>
      <c r="J165" s="298"/>
      <c r="K165" s="298"/>
      <c r="L165" s="298"/>
      <c r="M165" s="298"/>
    </row>
    <row r="166" ht="15.75" customHeight="1">
      <c r="A166" s="298"/>
      <c r="B166" s="298"/>
      <c r="C166" s="298"/>
      <c r="D166" s="543"/>
      <c r="E166" s="641"/>
      <c r="F166" s="298"/>
      <c r="G166" s="298"/>
      <c r="H166" s="580"/>
      <c r="I166" s="298"/>
      <c r="J166" s="298"/>
      <c r="K166" s="298"/>
      <c r="L166" s="298"/>
      <c r="M166" s="298"/>
    </row>
    <row r="167" ht="15.75" customHeight="1">
      <c r="A167" s="298"/>
      <c r="B167" s="298"/>
      <c r="C167" s="298"/>
      <c r="D167" s="543"/>
      <c r="E167" s="641"/>
      <c r="F167" s="298"/>
      <c r="G167" s="298"/>
      <c r="H167" s="580"/>
      <c r="I167" s="298"/>
      <c r="J167" s="298"/>
      <c r="K167" s="298"/>
      <c r="L167" s="298"/>
      <c r="M167" s="298"/>
    </row>
    <row r="168" ht="15.75" customHeight="1">
      <c r="A168" s="298"/>
      <c r="B168" s="298"/>
      <c r="C168" s="298"/>
      <c r="D168" s="543"/>
      <c r="E168" s="641"/>
      <c r="F168" s="298"/>
      <c r="G168" s="298"/>
      <c r="H168" s="580"/>
      <c r="I168" s="298"/>
      <c r="J168" s="298"/>
      <c r="K168" s="298"/>
      <c r="L168" s="298"/>
      <c r="M168" s="298"/>
    </row>
    <row r="169" ht="15.75" customHeight="1">
      <c r="A169" s="298"/>
      <c r="B169" s="298"/>
      <c r="C169" s="298"/>
      <c r="D169" s="543"/>
      <c r="E169" s="641"/>
      <c r="F169" s="298"/>
      <c r="G169" s="298"/>
      <c r="H169" s="580"/>
      <c r="I169" s="298"/>
      <c r="J169" s="298"/>
      <c r="K169" s="298"/>
      <c r="L169" s="298"/>
      <c r="M169" s="298"/>
    </row>
    <row r="170" ht="15.75" customHeight="1">
      <c r="A170" s="298"/>
      <c r="B170" s="298"/>
      <c r="C170" s="298"/>
      <c r="D170" s="543"/>
      <c r="E170" s="641"/>
      <c r="F170" s="298"/>
      <c r="G170" s="298"/>
      <c r="H170" s="580"/>
      <c r="I170" s="298"/>
      <c r="J170" s="298"/>
      <c r="K170" s="298"/>
      <c r="L170" s="298"/>
      <c r="M170" s="298"/>
    </row>
    <row r="171" ht="15.75" customHeight="1">
      <c r="A171" s="298"/>
      <c r="B171" s="298"/>
      <c r="C171" s="298"/>
      <c r="D171" s="543"/>
      <c r="E171" s="641"/>
      <c r="F171" s="298"/>
      <c r="G171" s="298"/>
      <c r="H171" s="580"/>
      <c r="I171" s="298"/>
      <c r="J171" s="298"/>
      <c r="K171" s="298"/>
      <c r="L171" s="298"/>
      <c r="M171" s="298"/>
    </row>
    <row r="172" ht="15.75" customHeight="1">
      <c r="A172" s="298"/>
      <c r="B172" s="298"/>
      <c r="C172" s="298"/>
      <c r="D172" s="543"/>
      <c r="E172" s="641"/>
      <c r="F172" s="298"/>
      <c r="G172" s="298"/>
      <c r="H172" s="580"/>
      <c r="I172" s="298"/>
      <c r="J172" s="298"/>
      <c r="K172" s="298"/>
      <c r="L172" s="298"/>
      <c r="M172" s="298"/>
    </row>
    <row r="173" ht="15.75" customHeight="1">
      <c r="A173" s="298"/>
      <c r="B173" s="298"/>
      <c r="C173" s="298"/>
      <c r="D173" s="543"/>
      <c r="E173" s="641"/>
      <c r="F173" s="298"/>
      <c r="G173" s="298"/>
      <c r="H173" s="580"/>
      <c r="I173" s="298"/>
      <c r="J173" s="298"/>
      <c r="K173" s="298"/>
      <c r="L173" s="298"/>
      <c r="M173" s="298"/>
    </row>
    <row r="174" ht="15.75" customHeight="1">
      <c r="A174" s="298"/>
      <c r="B174" s="298"/>
      <c r="C174" s="298"/>
      <c r="D174" s="543"/>
      <c r="E174" s="641"/>
      <c r="F174" s="298"/>
      <c r="G174" s="298"/>
      <c r="H174" s="580"/>
      <c r="I174" s="298"/>
      <c r="J174" s="298"/>
      <c r="K174" s="298"/>
      <c r="L174" s="298"/>
      <c r="M174" s="298"/>
    </row>
    <row r="175" ht="15.75" customHeight="1">
      <c r="A175" s="298"/>
      <c r="B175" s="298"/>
      <c r="C175" s="298"/>
      <c r="D175" s="543"/>
      <c r="E175" s="641"/>
      <c r="F175" s="298"/>
      <c r="G175" s="298"/>
      <c r="H175" s="580"/>
      <c r="I175" s="298"/>
      <c r="J175" s="298"/>
      <c r="K175" s="298"/>
      <c r="L175" s="298"/>
      <c r="M175" s="298"/>
    </row>
    <row r="176" ht="15.75" customHeight="1">
      <c r="A176" s="298"/>
      <c r="B176" s="298"/>
      <c r="C176" s="298"/>
      <c r="D176" s="543"/>
      <c r="E176" s="641"/>
      <c r="F176" s="298"/>
      <c r="G176" s="298"/>
      <c r="H176" s="580"/>
      <c r="I176" s="298"/>
      <c r="J176" s="298"/>
      <c r="K176" s="298"/>
      <c r="L176" s="298"/>
      <c r="M176" s="298"/>
    </row>
    <row r="177" ht="15.75" customHeight="1">
      <c r="A177" s="298"/>
      <c r="B177" s="298"/>
      <c r="C177" s="298"/>
      <c r="D177" s="543"/>
      <c r="E177" s="641"/>
      <c r="F177" s="298"/>
      <c r="G177" s="298"/>
      <c r="H177" s="580"/>
      <c r="I177" s="298"/>
      <c r="J177" s="298"/>
      <c r="K177" s="298"/>
      <c r="L177" s="298"/>
      <c r="M177" s="298"/>
    </row>
    <row r="178" ht="15.75" customHeight="1">
      <c r="A178" s="298"/>
      <c r="B178" s="298"/>
      <c r="C178" s="298"/>
      <c r="D178" s="543"/>
      <c r="E178" s="641"/>
      <c r="F178" s="298"/>
      <c r="G178" s="298"/>
      <c r="H178" s="580"/>
      <c r="I178" s="298"/>
      <c r="J178" s="298"/>
      <c r="K178" s="298"/>
      <c r="L178" s="298"/>
      <c r="M178" s="298"/>
    </row>
    <row r="179" ht="15.75" customHeight="1">
      <c r="A179" s="298"/>
      <c r="B179" s="298"/>
      <c r="C179" s="298"/>
      <c r="D179" s="543"/>
      <c r="E179" s="641"/>
      <c r="F179" s="298"/>
      <c r="G179" s="298"/>
      <c r="H179" s="580"/>
      <c r="I179" s="298"/>
      <c r="J179" s="298"/>
      <c r="K179" s="298"/>
      <c r="L179" s="298"/>
      <c r="M179" s="298"/>
    </row>
    <row r="180" ht="15.75" customHeight="1">
      <c r="A180" s="298"/>
      <c r="B180" s="298"/>
      <c r="C180" s="298"/>
      <c r="D180" s="543"/>
      <c r="E180" s="641"/>
      <c r="F180" s="298"/>
      <c r="G180" s="298"/>
      <c r="H180" s="580"/>
      <c r="I180" s="298"/>
      <c r="J180" s="298"/>
      <c r="K180" s="298"/>
      <c r="L180" s="298"/>
      <c r="M180" s="298"/>
    </row>
    <row r="181" ht="15.75" customHeight="1">
      <c r="A181" s="298"/>
      <c r="B181" s="298"/>
      <c r="C181" s="298"/>
      <c r="D181" s="543"/>
      <c r="E181" s="641"/>
      <c r="F181" s="298"/>
      <c r="G181" s="298"/>
      <c r="H181" s="580"/>
      <c r="I181" s="298"/>
      <c r="J181" s="298"/>
      <c r="K181" s="298"/>
      <c r="L181" s="298"/>
      <c r="M181" s="298"/>
    </row>
    <row r="182" ht="15.75" customHeight="1">
      <c r="A182" s="298"/>
      <c r="B182" s="298"/>
      <c r="C182" s="298"/>
      <c r="D182" s="543"/>
      <c r="E182" s="641"/>
      <c r="F182" s="298"/>
      <c r="G182" s="298"/>
      <c r="H182" s="580"/>
      <c r="I182" s="298"/>
      <c r="J182" s="298"/>
      <c r="K182" s="298"/>
      <c r="L182" s="298"/>
      <c r="M182" s="298"/>
    </row>
    <row r="183" ht="15.75" customHeight="1">
      <c r="A183" s="298"/>
      <c r="B183" s="298"/>
      <c r="C183" s="298"/>
      <c r="D183" s="543"/>
      <c r="E183" s="641"/>
      <c r="F183" s="298"/>
      <c r="G183" s="298"/>
      <c r="H183" s="580"/>
      <c r="I183" s="298"/>
      <c r="J183" s="298"/>
      <c r="K183" s="298"/>
      <c r="L183" s="298"/>
      <c r="M183" s="298"/>
    </row>
    <row r="184" ht="15.75" customHeight="1">
      <c r="A184" s="298"/>
      <c r="B184" s="298"/>
      <c r="C184" s="298"/>
      <c r="D184" s="543"/>
      <c r="E184" s="641"/>
      <c r="F184" s="298"/>
      <c r="G184" s="298"/>
      <c r="H184" s="580"/>
      <c r="I184" s="298"/>
      <c r="J184" s="298"/>
      <c r="K184" s="298"/>
      <c r="L184" s="298"/>
      <c r="M184" s="298"/>
    </row>
    <row r="185" ht="15.75" customHeight="1">
      <c r="A185" s="298"/>
      <c r="B185" s="298"/>
      <c r="C185" s="298"/>
      <c r="D185" s="543"/>
      <c r="E185" s="641"/>
      <c r="F185" s="298"/>
      <c r="G185" s="298"/>
      <c r="H185" s="580"/>
      <c r="I185" s="298"/>
      <c r="J185" s="298"/>
      <c r="K185" s="298"/>
      <c r="L185" s="298"/>
      <c r="M185" s="298"/>
    </row>
    <row r="186" ht="15.75" customHeight="1">
      <c r="A186" s="298"/>
      <c r="B186" s="298"/>
      <c r="C186" s="298"/>
      <c r="D186" s="543"/>
      <c r="E186" s="641"/>
      <c r="F186" s="298"/>
      <c r="G186" s="298"/>
      <c r="H186" s="580"/>
      <c r="I186" s="298"/>
      <c r="J186" s="298"/>
      <c r="K186" s="298"/>
      <c r="L186" s="298"/>
      <c r="M186" s="298"/>
    </row>
    <row r="187" ht="15.75" customHeight="1">
      <c r="A187" s="298"/>
      <c r="B187" s="298"/>
      <c r="C187" s="298"/>
      <c r="D187" s="543"/>
      <c r="E187" s="641"/>
      <c r="F187" s="298"/>
      <c r="G187" s="298"/>
      <c r="H187" s="580"/>
      <c r="I187" s="298"/>
      <c r="J187" s="298"/>
      <c r="K187" s="298"/>
      <c r="L187" s="298"/>
      <c r="M187" s="298"/>
    </row>
    <row r="188" ht="15.75" customHeight="1">
      <c r="A188" s="298"/>
      <c r="B188" s="298"/>
      <c r="C188" s="298"/>
      <c r="D188" s="543"/>
      <c r="E188" s="641"/>
      <c r="F188" s="298"/>
      <c r="G188" s="298"/>
      <c r="H188" s="580"/>
      <c r="I188" s="298"/>
      <c r="J188" s="298"/>
      <c r="K188" s="298"/>
      <c r="L188" s="298"/>
      <c r="M188" s="298"/>
    </row>
    <row r="189" ht="15.75" customHeight="1">
      <c r="A189" s="298"/>
      <c r="B189" s="298"/>
      <c r="C189" s="298"/>
      <c r="D189" s="543"/>
      <c r="E189" s="641"/>
      <c r="F189" s="298"/>
      <c r="G189" s="298"/>
      <c r="H189" s="580"/>
      <c r="I189" s="298"/>
      <c r="J189" s="298"/>
      <c r="K189" s="298"/>
      <c r="L189" s="298"/>
      <c r="M189" s="298"/>
    </row>
    <row r="190" ht="15.75" customHeight="1">
      <c r="A190" s="298"/>
      <c r="B190" s="298"/>
      <c r="C190" s="298"/>
      <c r="D190" s="543"/>
      <c r="E190" s="641"/>
      <c r="F190" s="298"/>
      <c r="G190" s="298"/>
      <c r="H190" s="580"/>
      <c r="I190" s="298"/>
      <c r="J190" s="298"/>
      <c r="K190" s="298"/>
      <c r="L190" s="298"/>
      <c r="M190" s="298"/>
    </row>
    <row r="191" ht="15.75" customHeight="1">
      <c r="A191" s="298"/>
      <c r="B191" s="298"/>
      <c r="C191" s="298"/>
      <c r="D191" s="543"/>
      <c r="E191" s="641"/>
      <c r="F191" s="298"/>
      <c r="G191" s="298"/>
      <c r="H191" s="580"/>
      <c r="I191" s="298"/>
      <c r="J191" s="298"/>
      <c r="K191" s="298"/>
      <c r="L191" s="298"/>
      <c r="M191" s="298"/>
    </row>
    <row r="192" ht="15.75" customHeight="1">
      <c r="A192" s="298"/>
      <c r="B192" s="298"/>
      <c r="C192" s="298"/>
      <c r="D192" s="543"/>
      <c r="E192" s="641"/>
      <c r="F192" s="298"/>
      <c r="G192" s="298"/>
      <c r="H192" s="580"/>
      <c r="I192" s="298"/>
      <c r="J192" s="298"/>
      <c r="K192" s="298"/>
      <c r="L192" s="298"/>
      <c r="M192" s="298"/>
    </row>
    <row r="193" ht="15.75" customHeight="1">
      <c r="A193" s="298"/>
      <c r="B193" s="298"/>
      <c r="C193" s="298"/>
      <c r="D193" s="543"/>
      <c r="E193" s="641"/>
      <c r="F193" s="298"/>
      <c r="G193" s="298"/>
      <c r="H193" s="580"/>
      <c r="I193" s="298"/>
      <c r="J193" s="298"/>
      <c r="K193" s="298"/>
      <c r="L193" s="298"/>
      <c r="M193" s="298"/>
    </row>
    <row r="194" ht="15.75" customHeight="1">
      <c r="A194" s="298"/>
      <c r="B194" s="298"/>
      <c r="C194" s="298"/>
      <c r="D194" s="543"/>
      <c r="E194" s="641"/>
      <c r="F194" s="298"/>
      <c r="G194" s="298"/>
      <c r="H194" s="580"/>
      <c r="I194" s="298"/>
      <c r="J194" s="298"/>
      <c r="K194" s="298"/>
      <c r="L194" s="298"/>
      <c r="M194" s="298"/>
    </row>
    <row r="195" ht="15.75" customHeight="1">
      <c r="A195" s="298"/>
      <c r="B195" s="298"/>
      <c r="C195" s="298"/>
      <c r="D195" s="543"/>
      <c r="E195" s="641"/>
      <c r="F195" s="298"/>
      <c r="G195" s="298"/>
      <c r="H195" s="580"/>
      <c r="I195" s="298"/>
      <c r="J195" s="298"/>
      <c r="K195" s="298"/>
      <c r="L195" s="298"/>
      <c r="M195" s="298"/>
    </row>
    <row r="196" ht="15.75" customHeight="1">
      <c r="A196" s="298"/>
      <c r="B196" s="298"/>
      <c r="C196" s="298"/>
      <c r="D196" s="543"/>
      <c r="E196" s="641"/>
      <c r="F196" s="298"/>
      <c r="G196" s="298"/>
      <c r="H196" s="580"/>
      <c r="I196" s="298"/>
      <c r="J196" s="298"/>
      <c r="K196" s="298"/>
      <c r="L196" s="298"/>
      <c r="M196" s="298"/>
    </row>
    <row r="197" ht="15.75" customHeight="1">
      <c r="A197" s="298"/>
      <c r="B197" s="298"/>
      <c r="C197" s="298"/>
      <c r="D197" s="543"/>
      <c r="E197" s="641"/>
      <c r="F197" s="298"/>
      <c r="G197" s="298"/>
      <c r="H197" s="580"/>
      <c r="I197" s="298"/>
      <c r="J197" s="298"/>
      <c r="K197" s="298"/>
      <c r="L197" s="298"/>
      <c r="M197" s="298"/>
    </row>
    <row r="198" ht="15.75" customHeight="1">
      <c r="A198" s="298"/>
      <c r="B198" s="298"/>
      <c r="C198" s="298"/>
      <c r="D198" s="543"/>
      <c r="E198" s="641"/>
      <c r="F198" s="298"/>
      <c r="G198" s="298"/>
      <c r="H198" s="580"/>
      <c r="I198" s="298"/>
      <c r="J198" s="298"/>
      <c r="K198" s="298"/>
      <c r="L198" s="298"/>
      <c r="M198" s="298"/>
    </row>
    <row r="199" ht="15.75" customHeight="1">
      <c r="A199" s="298"/>
      <c r="B199" s="298"/>
      <c r="C199" s="298"/>
      <c r="D199" s="543"/>
      <c r="E199" s="641"/>
      <c r="F199" s="298"/>
      <c r="G199" s="298"/>
      <c r="H199" s="580"/>
      <c r="I199" s="298"/>
      <c r="J199" s="298"/>
      <c r="K199" s="298"/>
      <c r="L199" s="298"/>
      <c r="M199" s="298"/>
    </row>
    <row r="200" ht="15.75" customHeight="1">
      <c r="A200" s="298"/>
      <c r="B200" s="298"/>
      <c r="C200" s="298"/>
      <c r="D200" s="543"/>
      <c r="E200" s="641"/>
      <c r="F200" s="298"/>
      <c r="G200" s="298"/>
      <c r="H200" s="580"/>
      <c r="I200" s="298"/>
      <c r="J200" s="298"/>
      <c r="K200" s="298"/>
      <c r="L200" s="298"/>
      <c r="M200" s="298"/>
    </row>
    <row r="201" ht="15.75" customHeight="1">
      <c r="A201" s="298"/>
      <c r="B201" s="298"/>
      <c r="C201" s="298"/>
      <c r="D201" s="543"/>
      <c r="E201" s="641"/>
      <c r="F201" s="298"/>
      <c r="G201" s="298"/>
      <c r="H201" s="580"/>
      <c r="I201" s="298"/>
      <c r="J201" s="298"/>
      <c r="K201" s="298"/>
      <c r="L201" s="298"/>
      <c r="M201" s="298"/>
    </row>
    <row r="202" ht="15.75" customHeight="1">
      <c r="A202" s="298"/>
      <c r="B202" s="298"/>
      <c r="C202" s="298"/>
      <c r="D202" s="543"/>
      <c r="E202" s="641"/>
      <c r="F202" s="298"/>
      <c r="G202" s="298"/>
      <c r="H202" s="580"/>
      <c r="I202" s="298"/>
      <c r="J202" s="298"/>
      <c r="K202" s="298"/>
      <c r="L202" s="298"/>
      <c r="M202" s="298"/>
    </row>
    <row r="203" ht="15.75" customHeight="1">
      <c r="A203" s="298"/>
      <c r="B203" s="298"/>
      <c r="C203" s="298"/>
      <c r="D203" s="543"/>
      <c r="E203" s="641"/>
      <c r="F203" s="298"/>
      <c r="G203" s="298"/>
      <c r="H203" s="580"/>
      <c r="I203" s="298"/>
      <c r="J203" s="298"/>
      <c r="K203" s="298"/>
      <c r="L203" s="298"/>
      <c r="M203" s="298"/>
    </row>
    <row r="204" ht="15.75" customHeight="1">
      <c r="A204" s="298"/>
      <c r="B204" s="298"/>
      <c r="C204" s="298"/>
      <c r="D204" s="543"/>
      <c r="E204" s="641"/>
      <c r="F204" s="298"/>
      <c r="G204" s="298"/>
      <c r="H204" s="580"/>
      <c r="I204" s="298"/>
      <c r="J204" s="298"/>
      <c r="K204" s="298"/>
      <c r="L204" s="298"/>
      <c r="M204" s="298"/>
    </row>
    <row r="205" ht="15.75" customHeight="1">
      <c r="A205" s="298"/>
      <c r="B205" s="298"/>
      <c r="C205" s="298"/>
      <c r="D205" s="543"/>
      <c r="E205" s="641"/>
      <c r="F205" s="298"/>
      <c r="G205" s="298"/>
      <c r="H205" s="580"/>
      <c r="I205" s="298"/>
      <c r="J205" s="298"/>
      <c r="K205" s="298"/>
      <c r="L205" s="298"/>
      <c r="M205" s="298"/>
    </row>
    <row r="206" ht="15.75" customHeight="1">
      <c r="A206" s="298"/>
      <c r="B206" s="298"/>
      <c r="C206" s="298"/>
      <c r="D206" s="543"/>
      <c r="E206" s="641"/>
      <c r="F206" s="298"/>
      <c r="G206" s="298"/>
      <c r="H206" s="580"/>
      <c r="I206" s="298"/>
      <c r="J206" s="298"/>
      <c r="K206" s="298"/>
      <c r="L206" s="298"/>
      <c r="M206" s="298"/>
    </row>
    <row r="207" ht="15.75" customHeight="1">
      <c r="A207" s="298"/>
      <c r="B207" s="298"/>
      <c r="C207" s="298"/>
      <c r="D207" s="543"/>
      <c r="E207" s="641"/>
      <c r="F207" s="298"/>
      <c r="G207" s="298"/>
      <c r="H207" s="580"/>
      <c r="I207" s="298"/>
      <c r="J207" s="298"/>
      <c r="K207" s="298"/>
      <c r="L207" s="298"/>
      <c r="M207" s="298"/>
    </row>
    <row r="208" ht="15.75" customHeight="1">
      <c r="A208" s="298"/>
      <c r="B208" s="298"/>
      <c r="C208" s="298"/>
      <c r="D208" s="543"/>
      <c r="E208" s="641"/>
      <c r="F208" s="298"/>
      <c r="G208" s="298"/>
      <c r="H208" s="580"/>
      <c r="I208" s="298"/>
      <c r="J208" s="298"/>
      <c r="K208" s="298"/>
      <c r="L208" s="298"/>
      <c r="M208" s="298"/>
    </row>
    <row r="209" ht="15.75" customHeight="1">
      <c r="A209" s="298"/>
      <c r="B209" s="298"/>
      <c r="C209" s="298"/>
      <c r="D209" s="543"/>
      <c r="E209" s="641"/>
      <c r="F209" s="298"/>
      <c r="G209" s="298"/>
      <c r="H209" s="580"/>
      <c r="I209" s="298"/>
      <c r="J209" s="298"/>
      <c r="K209" s="298"/>
      <c r="L209" s="298"/>
      <c r="M209" s="298"/>
    </row>
    <row r="210" ht="15.75" customHeight="1">
      <c r="A210" s="298"/>
      <c r="B210" s="298"/>
      <c r="C210" s="298"/>
      <c r="D210" s="543"/>
      <c r="E210" s="641"/>
      <c r="F210" s="298"/>
      <c r="G210" s="298"/>
      <c r="H210" s="580"/>
      <c r="I210" s="298"/>
      <c r="J210" s="298"/>
      <c r="K210" s="298"/>
      <c r="L210" s="298"/>
      <c r="M210" s="298"/>
    </row>
    <row r="211" ht="15.75" customHeight="1">
      <c r="A211" s="298"/>
      <c r="B211" s="298"/>
      <c r="C211" s="298"/>
      <c r="D211" s="543"/>
      <c r="E211" s="641"/>
      <c r="F211" s="298"/>
      <c r="G211" s="298"/>
      <c r="H211" s="580"/>
      <c r="I211" s="298"/>
      <c r="J211" s="298"/>
      <c r="K211" s="298"/>
      <c r="L211" s="298"/>
      <c r="M211" s="298"/>
    </row>
    <row r="212" ht="15.75" customHeight="1">
      <c r="A212" s="298"/>
      <c r="B212" s="298"/>
      <c r="C212" s="298"/>
      <c r="D212" s="543"/>
      <c r="E212" s="641"/>
      <c r="F212" s="298"/>
      <c r="G212" s="298"/>
      <c r="H212" s="580"/>
      <c r="I212" s="298"/>
      <c r="J212" s="298"/>
      <c r="K212" s="298"/>
      <c r="L212" s="298"/>
      <c r="M212" s="298"/>
    </row>
    <row r="213" ht="15.75" customHeight="1">
      <c r="A213" s="298"/>
      <c r="B213" s="298"/>
      <c r="C213" s="298"/>
      <c r="D213" s="543"/>
      <c r="E213" s="641"/>
      <c r="F213" s="298"/>
      <c r="G213" s="298"/>
      <c r="H213" s="580"/>
      <c r="I213" s="298"/>
      <c r="J213" s="298"/>
      <c r="K213" s="298"/>
      <c r="L213" s="298"/>
      <c r="M213" s="298"/>
    </row>
    <row r="214" ht="15.75" customHeight="1">
      <c r="A214" s="298"/>
      <c r="B214" s="298"/>
      <c r="C214" s="298"/>
      <c r="D214" s="543"/>
      <c r="E214" s="641"/>
      <c r="F214" s="298"/>
      <c r="G214" s="298"/>
      <c r="H214" s="580"/>
      <c r="I214" s="298"/>
      <c r="J214" s="298"/>
      <c r="K214" s="298"/>
      <c r="L214" s="298"/>
      <c r="M214" s="298"/>
    </row>
    <row r="215" ht="15.75" customHeight="1">
      <c r="A215" s="298"/>
      <c r="B215" s="298"/>
      <c r="C215" s="298"/>
      <c r="D215" s="543"/>
      <c r="E215" s="641"/>
      <c r="F215" s="298"/>
      <c r="G215" s="298"/>
      <c r="H215" s="580"/>
      <c r="I215" s="298"/>
      <c r="J215" s="298"/>
      <c r="K215" s="298"/>
      <c r="L215" s="298"/>
      <c r="M215" s="298"/>
    </row>
    <row r="216" ht="15.75" customHeight="1">
      <c r="A216" s="298"/>
      <c r="B216" s="298"/>
      <c r="C216" s="298"/>
      <c r="D216" s="543"/>
      <c r="E216" s="641"/>
      <c r="F216" s="298"/>
      <c r="G216" s="298"/>
      <c r="H216" s="580"/>
      <c r="I216" s="298"/>
      <c r="J216" s="298"/>
      <c r="K216" s="298"/>
      <c r="L216" s="298"/>
      <c r="M216" s="298"/>
    </row>
    <row r="217" ht="15.75" customHeight="1">
      <c r="A217" s="298"/>
      <c r="B217" s="298"/>
      <c r="C217" s="298"/>
      <c r="D217" s="543"/>
      <c r="E217" s="641"/>
      <c r="F217" s="298"/>
      <c r="G217" s="298"/>
      <c r="H217" s="580"/>
      <c r="I217" s="298"/>
      <c r="J217" s="298"/>
      <c r="K217" s="298"/>
      <c r="L217" s="298"/>
      <c r="M217" s="298"/>
    </row>
    <row r="218" ht="15.75" customHeight="1">
      <c r="A218" s="298"/>
      <c r="B218" s="298"/>
      <c r="C218" s="298"/>
      <c r="D218" s="543"/>
      <c r="E218" s="641"/>
      <c r="F218" s="298"/>
      <c r="G218" s="298"/>
      <c r="H218" s="580"/>
      <c r="I218" s="298"/>
      <c r="J218" s="298"/>
      <c r="K218" s="298"/>
      <c r="L218" s="298"/>
      <c r="M218" s="298"/>
    </row>
    <row r="219" ht="15.75" customHeight="1">
      <c r="A219" s="298"/>
      <c r="B219" s="298"/>
      <c r="C219" s="298"/>
      <c r="D219" s="543"/>
      <c r="E219" s="641"/>
      <c r="F219" s="298"/>
      <c r="G219" s="298"/>
      <c r="H219" s="580"/>
      <c r="I219" s="298"/>
      <c r="J219" s="298"/>
      <c r="K219" s="298"/>
      <c r="L219" s="298"/>
      <c r="M219" s="298"/>
    </row>
    <row r="220" ht="15.75" customHeight="1">
      <c r="A220" s="298"/>
      <c r="B220" s="298"/>
      <c r="C220" s="298"/>
      <c r="D220" s="543"/>
      <c r="E220" s="641"/>
      <c r="F220" s="298"/>
      <c r="G220" s="298"/>
      <c r="H220" s="580"/>
      <c r="I220" s="298"/>
      <c r="J220" s="298"/>
      <c r="K220" s="298"/>
      <c r="L220" s="298"/>
      <c r="M220" s="298"/>
    </row>
    <row r="221" ht="15.75" customHeight="1">
      <c r="A221" s="298"/>
      <c r="B221" s="298"/>
      <c r="C221" s="298"/>
      <c r="D221" s="543"/>
      <c r="E221" s="641"/>
      <c r="F221" s="298"/>
      <c r="G221" s="298"/>
      <c r="H221" s="580"/>
      <c r="I221" s="298"/>
      <c r="J221" s="298"/>
      <c r="K221" s="298"/>
      <c r="L221" s="298"/>
      <c r="M221" s="298"/>
    </row>
    <row r="222" ht="15.75" customHeight="1">
      <c r="A222" s="298"/>
      <c r="B222" s="298"/>
      <c r="C222" s="298"/>
      <c r="D222" s="543"/>
      <c r="E222" s="641"/>
      <c r="F222" s="298"/>
      <c r="G222" s="298"/>
      <c r="H222" s="580"/>
      <c r="I222" s="298"/>
      <c r="J222" s="298"/>
      <c r="K222" s="298"/>
      <c r="L222" s="298"/>
      <c r="M222" s="298"/>
    </row>
    <row r="223" ht="15.75" customHeight="1">
      <c r="A223" s="298"/>
      <c r="B223" s="298"/>
      <c r="C223" s="298"/>
      <c r="D223" s="543"/>
      <c r="E223" s="641"/>
      <c r="F223" s="298"/>
      <c r="G223" s="298"/>
      <c r="H223" s="580"/>
      <c r="I223" s="298"/>
      <c r="J223" s="298"/>
      <c r="K223" s="298"/>
      <c r="L223" s="298"/>
      <c r="M223" s="298"/>
    </row>
    <row r="224" ht="15.75" customHeight="1">
      <c r="A224" s="298"/>
      <c r="B224" s="298"/>
      <c r="C224" s="298"/>
      <c r="D224" s="543"/>
      <c r="E224" s="641"/>
      <c r="F224" s="298"/>
      <c r="G224" s="298"/>
      <c r="H224" s="580"/>
      <c r="I224" s="298"/>
      <c r="J224" s="298"/>
      <c r="K224" s="298"/>
      <c r="L224" s="298"/>
      <c r="M224" s="298"/>
    </row>
    <row r="225" ht="15.75" customHeight="1">
      <c r="A225" s="298"/>
      <c r="B225" s="298"/>
      <c r="C225" s="298"/>
      <c r="D225" s="543"/>
      <c r="E225" s="641"/>
      <c r="F225" s="298"/>
      <c r="G225" s="298"/>
      <c r="H225" s="580"/>
      <c r="I225" s="298"/>
      <c r="J225" s="298"/>
      <c r="K225" s="298"/>
      <c r="L225" s="298"/>
      <c r="M225" s="298"/>
    </row>
    <row r="226" ht="15.75" customHeight="1">
      <c r="A226" s="298"/>
      <c r="B226" s="298"/>
      <c r="C226" s="298"/>
      <c r="D226" s="543"/>
      <c r="E226" s="641"/>
      <c r="F226" s="298"/>
      <c r="G226" s="298"/>
      <c r="H226" s="580"/>
      <c r="I226" s="298"/>
      <c r="J226" s="298"/>
      <c r="K226" s="298"/>
      <c r="L226" s="298"/>
      <c r="M226" s="298"/>
    </row>
    <row r="227" ht="15.75" customHeight="1">
      <c r="A227" s="298"/>
      <c r="B227" s="298"/>
      <c r="C227" s="298"/>
      <c r="D227" s="543"/>
      <c r="E227" s="641"/>
      <c r="F227" s="298"/>
      <c r="G227" s="298"/>
      <c r="H227" s="580"/>
      <c r="I227" s="298"/>
      <c r="J227" s="298"/>
      <c r="K227" s="298"/>
      <c r="L227" s="298"/>
      <c r="M227" s="298"/>
    </row>
    <row r="228" ht="15.75" customHeight="1">
      <c r="A228" s="298"/>
      <c r="B228" s="298"/>
      <c r="C228" s="298"/>
      <c r="D228" s="543"/>
      <c r="E228" s="641"/>
      <c r="F228" s="298"/>
      <c r="G228" s="298"/>
      <c r="H228" s="580"/>
      <c r="I228" s="298"/>
      <c r="J228" s="298"/>
      <c r="K228" s="298"/>
      <c r="L228" s="298"/>
      <c r="M228" s="298"/>
    </row>
    <row r="229" ht="15.75" customHeight="1">
      <c r="A229" s="298"/>
      <c r="B229" s="298"/>
      <c r="C229" s="298"/>
      <c r="D229" s="543"/>
      <c r="E229" s="641"/>
      <c r="F229" s="298"/>
      <c r="G229" s="298"/>
      <c r="H229" s="580"/>
      <c r="I229" s="298"/>
      <c r="J229" s="298"/>
      <c r="K229" s="298"/>
      <c r="L229" s="298"/>
      <c r="M229" s="298"/>
    </row>
    <row r="230" ht="15.75" customHeight="1">
      <c r="A230" s="298"/>
      <c r="B230" s="298"/>
      <c r="C230" s="298"/>
      <c r="D230" s="543"/>
      <c r="E230" s="641"/>
      <c r="F230" s="298"/>
      <c r="G230" s="298"/>
      <c r="H230" s="580"/>
      <c r="I230" s="298"/>
      <c r="J230" s="298"/>
      <c r="K230" s="298"/>
      <c r="L230" s="298"/>
      <c r="M230" s="298"/>
    </row>
    <row r="231" ht="15.75" customHeight="1">
      <c r="A231" s="298"/>
      <c r="B231" s="298"/>
      <c r="C231" s="298"/>
      <c r="D231" s="543"/>
      <c r="E231" s="641"/>
      <c r="F231" s="298"/>
      <c r="G231" s="298"/>
      <c r="H231" s="580"/>
      <c r="I231" s="298"/>
      <c r="J231" s="298"/>
      <c r="K231" s="298"/>
      <c r="L231" s="298"/>
      <c r="M231" s="298"/>
    </row>
    <row r="232" ht="15.75" customHeight="1">
      <c r="A232" s="298"/>
      <c r="B232" s="298"/>
      <c r="C232" s="298"/>
      <c r="D232" s="543"/>
      <c r="E232" s="641"/>
      <c r="F232" s="298"/>
      <c r="G232" s="298"/>
      <c r="H232" s="580"/>
      <c r="I232" s="298"/>
      <c r="J232" s="298"/>
      <c r="K232" s="298"/>
      <c r="L232" s="298"/>
      <c r="M232" s="298"/>
    </row>
    <row r="233" ht="15.75" customHeight="1">
      <c r="A233" s="298"/>
      <c r="B233" s="298"/>
      <c r="C233" s="298"/>
      <c r="D233" s="543"/>
      <c r="E233" s="641"/>
      <c r="F233" s="298"/>
      <c r="G233" s="298"/>
      <c r="H233" s="580"/>
      <c r="I233" s="298"/>
      <c r="J233" s="298"/>
      <c r="K233" s="298"/>
      <c r="L233" s="298"/>
      <c r="M233" s="298"/>
    </row>
    <row r="234" ht="15.75" customHeight="1">
      <c r="A234" s="298"/>
      <c r="B234" s="298"/>
      <c r="C234" s="298"/>
      <c r="D234" s="543"/>
      <c r="E234" s="641"/>
      <c r="F234" s="298"/>
      <c r="G234" s="298"/>
      <c r="H234" s="580"/>
      <c r="I234" s="298"/>
      <c r="J234" s="298"/>
      <c r="K234" s="298"/>
      <c r="L234" s="298"/>
      <c r="M234" s="298"/>
    </row>
    <row r="235" ht="15.75" customHeight="1">
      <c r="A235" s="298"/>
      <c r="B235" s="298"/>
      <c r="C235" s="298"/>
      <c r="D235" s="543"/>
      <c r="E235" s="641"/>
      <c r="F235" s="298"/>
      <c r="G235" s="298"/>
      <c r="H235" s="580"/>
      <c r="I235" s="298"/>
      <c r="J235" s="298"/>
      <c r="K235" s="298"/>
      <c r="L235" s="298"/>
      <c r="M235" s="298"/>
    </row>
    <row r="236" ht="15.75" customHeight="1">
      <c r="A236" s="298"/>
      <c r="B236" s="298"/>
      <c r="C236" s="298"/>
      <c r="D236" s="543"/>
      <c r="E236" s="641"/>
      <c r="F236" s="298"/>
      <c r="G236" s="298"/>
      <c r="H236" s="580"/>
      <c r="I236" s="298"/>
      <c r="J236" s="298"/>
      <c r="K236" s="298"/>
      <c r="L236" s="298"/>
      <c r="M236" s="298"/>
    </row>
    <row r="237" ht="15.75" customHeight="1">
      <c r="A237" s="298"/>
      <c r="B237" s="298"/>
      <c r="C237" s="298"/>
      <c r="D237" s="543"/>
      <c r="E237" s="641"/>
      <c r="F237" s="298"/>
      <c r="G237" s="298"/>
      <c r="H237" s="580"/>
      <c r="I237" s="298"/>
      <c r="J237" s="298"/>
      <c r="K237" s="298"/>
      <c r="L237" s="298"/>
      <c r="M237" s="298"/>
    </row>
    <row r="238" ht="15.75" customHeight="1">
      <c r="A238" s="298"/>
      <c r="B238" s="298"/>
      <c r="C238" s="298"/>
      <c r="D238" s="543"/>
      <c r="E238" s="641"/>
      <c r="F238" s="298"/>
      <c r="G238" s="298"/>
      <c r="H238" s="580"/>
      <c r="I238" s="298"/>
      <c r="J238" s="298"/>
      <c r="K238" s="298"/>
      <c r="L238" s="298"/>
      <c r="M238" s="298"/>
    </row>
    <row r="239" ht="15.75" customHeight="1">
      <c r="A239" s="298"/>
      <c r="B239" s="298"/>
      <c r="C239" s="298"/>
      <c r="D239" s="543"/>
      <c r="E239" s="641"/>
      <c r="F239" s="298"/>
      <c r="G239" s="298"/>
      <c r="H239" s="580"/>
      <c r="I239" s="298"/>
      <c r="J239" s="298"/>
      <c r="K239" s="298"/>
      <c r="L239" s="298"/>
      <c r="M239" s="298"/>
    </row>
    <row r="240" ht="15.75" customHeight="1">
      <c r="A240" s="298"/>
      <c r="B240" s="298"/>
      <c r="C240" s="298"/>
      <c r="D240" s="543"/>
      <c r="E240" s="641"/>
      <c r="F240" s="298"/>
      <c r="G240" s="298"/>
      <c r="H240" s="580"/>
      <c r="I240" s="298"/>
      <c r="J240" s="298"/>
      <c r="K240" s="298"/>
      <c r="L240" s="298"/>
      <c r="M240" s="298"/>
    </row>
    <row r="241" ht="15.75" customHeight="1">
      <c r="A241" s="298"/>
      <c r="B241" s="298"/>
      <c r="C241" s="298"/>
      <c r="D241" s="543"/>
      <c r="E241" s="641"/>
      <c r="F241" s="298"/>
      <c r="G241" s="298"/>
      <c r="H241" s="580"/>
      <c r="I241" s="298"/>
      <c r="J241" s="298"/>
      <c r="K241" s="298"/>
      <c r="L241" s="298"/>
      <c r="M241" s="298"/>
    </row>
    <row r="242" ht="15.75" customHeight="1">
      <c r="A242" s="298"/>
      <c r="B242" s="298"/>
      <c r="C242" s="298"/>
      <c r="D242" s="543"/>
      <c r="E242" s="641"/>
      <c r="F242" s="298"/>
      <c r="G242" s="298"/>
      <c r="H242" s="580"/>
      <c r="I242" s="298"/>
      <c r="J242" s="298"/>
      <c r="K242" s="298"/>
      <c r="L242" s="298"/>
      <c r="M242" s="298"/>
    </row>
    <row r="243" ht="15.75" customHeight="1">
      <c r="A243" s="298"/>
      <c r="B243" s="298"/>
      <c r="C243" s="298"/>
      <c r="D243" s="543"/>
      <c r="E243" s="641"/>
      <c r="F243" s="298"/>
      <c r="G243" s="298"/>
      <c r="H243" s="580"/>
      <c r="I243" s="298"/>
      <c r="J243" s="298"/>
      <c r="K243" s="298"/>
      <c r="L243" s="298"/>
      <c r="M243" s="298"/>
    </row>
    <row r="244" ht="15.75" customHeight="1">
      <c r="A244" s="298"/>
      <c r="B244" s="298"/>
      <c r="C244" s="298"/>
      <c r="D244" s="543"/>
      <c r="E244" s="641"/>
      <c r="F244" s="298"/>
      <c r="G244" s="298"/>
      <c r="H244" s="580"/>
      <c r="I244" s="298"/>
      <c r="J244" s="298"/>
      <c r="K244" s="298"/>
      <c r="L244" s="298"/>
      <c r="M244" s="298"/>
    </row>
    <row r="245" ht="15.75" customHeight="1">
      <c r="A245" s="298"/>
      <c r="B245" s="298"/>
      <c r="C245" s="298"/>
      <c r="D245" s="543"/>
      <c r="E245" s="641"/>
      <c r="F245" s="298"/>
      <c r="G245" s="298"/>
      <c r="H245" s="580"/>
      <c r="I245" s="298"/>
      <c r="J245" s="298"/>
      <c r="K245" s="298"/>
      <c r="L245" s="298"/>
      <c r="M245" s="298"/>
    </row>
    <row r="246" ht="15.75" customHeight="1">
      <c r="A246" s="298"/>
      <c r="B246" s="298"/>
      <c r="C246" s="298"/>
      <c r="D246" s="543"/>
      <c r="E246" s="641"/>
      <c r="F246" s="298"/>
      <c r="G246" s="298"/>
      <c r="H246" s="580"/>
      <c r="I246" s="298"/>
      <c r="J246" s="298"/>
      <c r="K246" s="298"/>
      <c r="L246" s="298"/>
      <c r="M246" s="298"/>
    </row>
    <row r="247" ht="15.75" customHeight="1">
      <c r="A247" s="298"/>
      <c r="B247" s="298"/>
      <c r="C247" s="298"/>
      <c r="D247" s="543"/>
      <c r="E247" s="641"/>
      <c r="F247" s="298"/>
      <c r="G247" s="298"/>
      <c r="H247" s="580"/>
      <c r="I247" s="298"/>
      <c r="J247" s="298"/>
      <c r="K247" s="298"/>
      <c r="L247" s="298"/>
      <c r="M247" s="298"/>
    </row>
    <row r="248" ht="15.75" customHeight="1">
      <c r="A248" s="298"/>
      <c r="B248" s="298"/>
      <c r="C248" s="298"/>
      <c r="D248" s="543"/>
      <c r="E248" s="641"/>
      <c r="F248" s="298"/>
      <c r="G248" s="298"/>
      <c r="H248" s="580"/>
      <c r="I248" s="298"/>
      <c r="J248" s="298"/>
      <c r="K248" s="298"/>
      <c r="L248" s="298"/>
      <c r="M248" s="298"/>
    </row>
    <row r="249" ht="15.75" customHeight="1">
      <c r="A249" s="298"/>
      <c r="B249" s="298"/>
      <c r="C249" s="298"/>
      <c r="D249" s="543"/>
      <c r="E249" s="641"/>
      <c r="F249" s="298"/>
      <c r="G249" s="298"/>
      <c r="H249" s="580"/>
      <c r="I249" s="298"/>
      <c r="J249" s="298"/>
      <c r="K249" s="298"/>
      <c r="L249" s="298"/>
      <c r="M249" s="298"/>
    </row>
    <row r="250" ht="15.75" customHeight="1">
      <c r="A250" s="298"/>
      <c r="B250" s="298"/>
      <c r="C250" s="298"/>
      <c r="D250" s="543"/>
      <c r="E250" s="641"/>
      <c r="F250" s="298"/>
      <c r="G250" s="298"/>
      <c r="H250" s="580"/>
      <c r="I250" s="298"/>
      <c r="J250" s="298"/>
      <c r="K250" s="298"/>
      <c r="L250" s="298"/>
      <c r="M250" s="298"/>
    </row>
    <row r="251" ht="15.75" customHeight="1">
      <c r="A251" s="298"/>
      <c r="B251" s="298"/>
      <c r="C251" s="298"/>
      <c r="D251" s="543"/>
      <c r="E251" s="641"/>
      <c r="F251" s="298"/>
      <c r="G251" s="298"/>
      <c r="H251" s="580"/>
      <c r="I251" s="298"/>
      <c r="J251" s="298"/>
      <c r="K251" s="298"/>
      <c r="L251" s="298"/>
      <c r="M251" s="298"/>
    </row>
    <row r="252" ht="15.75" customHeight="1">
      <c r="A252" s="298"/>
      <c r="B252" s="298"/>
      <c r="C252" s="298"/>
      <c r="D252" s="543"/>
      <c r="E252" s="641"/>
      <c r="F252" s="298"/>
      <c r="G252" s="298"/>
      <c r="H252" s="580"/>
      <c r="I252" s="298"/>
      <c r="J252" s="298"/>
      <c r="K252" s="298"/>
      <c r="L252" s="298"/>
      <c r="M252" s="298"/>
    </row>
    <row r="253" ht="15.75" customHeight="1">
      <c r="A253" s="298"/>
      <c r="B253" s="298"/>
      <c r="C253" s="298"/>
      <c r="D253" s="543"/>
      <c r="E253" s="641"/>
      <c r="F253" s="298"/>
      <c r="G253" s="298"/>
      <c r="H253" s="580"/>
      <c r="I253" s="298"/>
      <c r="J253" s="298"/>
      <c r="K253" s="298"/>
      <c r="L253" s="298"/>
      <c r="M253" s="298"/>
    </row>
    <row r="254" ht="15.75" customHeight="1">
      <c r="A254" s="298"/>
      <c r="B254" s="298"/>
      <c r="C254" s="298"/>
      <c r="D254" s="543"/>
      <c r="E254" s="641"/>
      <c r="F254" s="298"/>
      <c r="G254" s="298"/>
      <c r="H254" s="580"/>
      <c r="I254" s="298"/>
      <c r="J254" s="298"/>
      <c r="K254" s="298"/>
      <c r="L254" s="298"/>
      <c r="M254" s="298"/>
    </row>
    <row r="255" ht="15.75" customHeight="1">
      <c r="A255" s="298"/>
      <c r="B255" s="298"/>
      <c r="C255" s="298"/>
      <c r="D255" s="543"/>
      <c r="E255" s="641"/>
      <c r="F255" s="298"/>
      <c r="G255" s="298"/>
      <c r="H255" s="580"/>
      <c r="I255" s="298"/>
      <c r="J255" s="298"/>
      <c r="K255" s="298"/>
      <c r="L255" s="298"/>
      <c r="M255" s="298"/>
    </row>
    <row r="256" ht="15.75" customHeight="1">
      <c r="A256" s="298"/>
      <c r="B256" s="298"/>
      <c r="C256" s="298"/>
      <c r="D256" s="543"/>
      <c r="E256" s="641"/>
      <c r="F256" s="298"/>
      <c r="G256" s="298"/>
      <c r="H256" s="580"/>
      <c r="I256" s="298"/>
      <c r="J256" s="298"/>
      <c r="K256" s="298"/>
      <c r="L256" s="298"/>
      <c r="M256" s="298"/>
    </row>
    <row r="257" ht="15.75" customHeight="1">
      <c r="A257" s="298"/>
      <c r="B257" s="298"/>
      <c r="C257" s="298"/>
      <c r="D257" s="543"/>
      <c r="E257" s="641"/>
      <c r="F257" s="298"/>
      <c r="G257" s="298"/>
      <c r="H257" s="580"/>
      <c r="I257" s="298"/>
      <c r="J257" s="298"/>
      <c r="K257" s="298"/>
      <c r="L257" s="298"/>
      <c r="M257" s="298"/>
    </row>
    <row r="258" ht="15.75" customHeight="1">
      <c r="A258" s="298"/>
      <c r="B258" s="298"/>
      <c r="C258" s="298"/>
      <c r="D258" s="543"/>
      <c r="E258" s="641"/>
      <c r="F258" s="298"/>
      <c r="G258" s="298"/>
      <c r="H258" s="580"/>
      <c r="I258" s="298"/>
      <c r="J258" s="298"/>
      <c r="K258" s="298"/>
      <c r="L258" s="298"/>
      <c r="M258" s="298"/>
    </row>
    <row r="259" ht="15.75" customHeight="1">
      <c r="A259" s="298"/>
      <c r="B259" s="298"/>
      <c r="C259" s="298"/>
      <c r="D259" s="543"/>
      <c r="E259" s="641"/>
      <c r="F259" s="298"/>
      <c r="G259" s="298"/>
      <c r="H259" s="580"/>
      <c r="I259" s="298"/>
      <c r="J259" s="298"/>
      <c r="K259" s="298"/>
      <c r="L259" s="298"/>
      <c r="M259" s="298"/>
    </row>
    <row r="260" ht="15.75" customHeight="1">
      <c r="A260" s="298"/>
      <c r="B260" s="298"/>
      <c r="C260" s="298"/>
      <c r="D260" s="543"/>
      <c r="E260" s="641"/>
      <c r="F260" s="298"/>
      <c r="G260" s="298"/>
      <c r="H260" s="580"/>
      <c r="I260" s="298"/>
      <c r="J260" s="298"/>
      <c r="K260" s="298"/>
      <c r="L260" s="298"/>
      <c r="M260" s="298"/>
    </row>
    <row r="261" ht="15.75" customHeight="1">
      <c r="A261" s="298"/>
      <c r="B261" s="298"/>
      <c r="C261" s="298"/>
      <c r="D261" s="543"/>
      <c r="E261" s="641"/>
      <c r="F261" s="298"/>
      <c r="G261" s="298"/>
      <c r="H261" s="580"/>
      <c r="I261" s="298"/>
      <c r="J261" s="298"/>
      <c r="K261" s="298"/>
      <c r="L261" s="298"/>
      <c r="M261" s="298"/>
    </row>
    <row r="262" ht="15.75" customHeight="1">
      <c r="A262" s="298"/>
      <c r="B262" s="298"/>
      <c r="C262" s="298"/>
      <c r="D262" s="543"/>
      <c r="E262" s="641"/>
      <c r="F262" s="298"/>
      <c r="G262" s="298"/>
      <c r="H262" s="580"/>
      <c r="I262" s="298"/>
      <c r="J262" s="298"/>
      <c r="K262" s="298"/>
      <c r="L262" s="298"/>
      <c r="M262" s="298"/>
    </row>
    <row r="263" ht="15.75" customHeight="1">
      <c r="A263" s="298"/>
      <c r="B263" s="298"/>
      <c r="C263" s="298"/>
      <c r="D263" s="298"/>
      <c r="E263" s="298"/>
      <c r="F263" s="298"/>
      <c r="G263" s="298"/>
      <c r="H263" s="298"/>
      <c r="I263" s="298"/>
      <c r="J263" s="298"/>
      <c r="K263" s="298"/>
      <c r="L263" s="298"/>
      <c r="M263" s="298"/>
    </row>
    <row r="264" ht="15.75" customHeight="1">
      <c r="A264" s="298"/>
      <c r="B264" s="298"/>
      <c r="C264" s="298"/>
      <c r="D264" s="298"/>
      <c r="E264" s="298"/>
      <c r="F264" s="298"/>
      <c r="G264" s="298"/>
      <c r="H264" s="298"/>
      <c r="I264" s="298"/>
      <c r="J264" s="298"/>
      <c r="K264" s="298"/>
      <c r="L264" s="298"/>
      <c r="M264" s="298"/>
    </row>
    <row r="265" ht="15.75" customHeight="1">
      <c r="A265" s="298"/>
      <c r="B265" s="298"/>
      <c r="C265" s="298"/>
      <c r="D265" s="298"/>
      <c r="E265" s="298"/>
      <c r="F265" s="298"/>
      <c r="G265" s="298"/>
      <c r="H265" s="298"/>
      <c r="I265" s="298"/>
      <c r="J265" s="298"/>
      <c r="K265" s="298"/>
      <c r="L265" s="298"/>
      <c r="M265" s="298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31.0"/>
    <col customWidth="1" min="3" max="3" width="11.38"/>
    <col customWidth="1" min="4" max="4" width="10.25"/>
    <col customWidth="1" min="5" max="5" width="12.63"/>
    <col customWidth="1" min="6" max="6" width="14.75"/>
  </cols>
  <sheetData>
    <row r="1" ht="15.75" customHeight="1">
      <c r="A1" s="298"/>
      <c r="B1" s="298"/>
      <c r="C1" s="298"/>
      <c r="D1" s="298"/>
      <c r="E1" s="298"/>
      <c r="F1" s="686" t="s">
        <v>308</v>
      </c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298"/>
    </row>
    <row r="2" ht="15.75" customHeight="1">
      <c r="B2" s="298"/>
      <c r="C2" s="298"/>
      <c r="D2" s="298"/>
      <c r="E2" s="298"/>
      <c r="F2" s="53" t="s">
        <v>309</v>
      </c>
      <c r="G2" s="615" t="s">
        <v>310</v>
      </c>
      <c r="H2" s="615"/>
      <c r="I2" s="615"/>
      <c r="J2" s="615"/>
      <c r="K2" s="615"/>
      <c r="L2" s="615"/>
      <c r="M2" s="615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</row>
    <row r="3" ht="15.75" customHeight="1">
      <c r="A3" s="298"/>
      <c r="B3" s="298"/>
      <c r="C3" s="298"/>
      <c r="D3" s="298"/>
      <c r="E3" s="298"/>
      <c r="F3" s="615" t="s">
        <v>311</v>
      </c>
      <c r="M3" s="615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</row>
    <row r="4" ht="15.75" customHeight="1">
      <c r="A4" s="298"/>
      <c r="B4" s="298" t="s">
        <v>312</v>
      </c>
      <c r="C4" s="298"/>
      <c r="D4" s="298"/>
      <c r="E4" s="298"/>
      <c r="F4" s="615" t="s">
        <v>313</v>
      </c>
      <c r="L4" s="615"/>
      <c r="M4" s="615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</row>
    <row r="5" ht="15.75" customHeight="1">
      <c r="A5" s="298"/>
      <c r="B5" s="298"/>
      <c r="C5" s="298"/>
      <c r="D5" s="298"/>
      <c r="E5" s="298"/>
      <c r="F5" s="615" t="s">
        <v>314</v>
      </c>
      <c r="H5" s="615"/>
      <c r="I5" s="615"/>
      <c r="J5" s="615"/>
      <c r="K5" s="615"/>
      <c r="L5" s="615"/>
      <c r="M5" s="615"/>
      <c r="N5" s="298"/>
      <c r="O5" s="298"/>
      <c r="P5" s="298"/>
      <c r="Q5" s="298"/>
      <c r="R5" s="298"/>
      <c r="S5" s="298"/>
      <c r="T5" s="298"/>
      <c r="U5" s="298"/>
      <c r="V5" s="298"/>
      <c r="W5" s="298"/>
      <c r="X5" s="298"/>
      <c r="Y5" s="298"/>
      <c r="Z5" s="298"/>
    </row>
    <row r="6" ht="15.75" customHeight="1">
      <c r="A6" s="298"/>
      <c r="B6" s="615" t="s">
        <v>315</v>
      </c>
      <c r="C6" s="615"/>
      <c r="D6" s="298"/>
      <c r="E6" s="298"/>
      <c r="F6" s="615" t="s">
        <v>316</v>
      </c>
      <c r="K6" s="615"/>
      <c r="L6" s="615"/>
      <c r="M6" s="615"/>
      <c r="N6" s="298"/>
      <c r="O6" s="298"/>
      <c r="P6" s="298"/>
      <c r="Q6" s="298"/>
      <c r="R6" s="298"/>
      <c r="S6" s="298"/>
      <c r="T6" s="298"/>
      <c r="U6" s="298"/>
      <c r="V6" s="298"/>
      <c r="W6" s="298"/>
      <c r="X6" s="298"/>
      <c r="Y6" s="298"/>
      <c r="Z6" s="298"/>
    </row>
    <row r="7" ht="15.75" customHeight="1">
      <c r="A7" s="298"/>
      <c r="B7" s="615" t="s">
        <v>317</v>
      </c>
      <c r="F7" s="615" t="s">
        <v>318</v>
      </c>
      <c r="M7" s="615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</row>
    <row r="8" ht="15.75" customHeight="1">
      <c r="A8" s="298"/>
      <c r="B8" s="615" t="s">
        <v>319</v>
      </c>
      <c r="F8" s="298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</row>
    <row r="9" ht="15.75" customHeight="1">
      <c r="A9" s="298"/>
      <c r="B9" s="615"/>
      <c r="C9" s="615"/>
      <c r="D9" s="298"/>
      <c r="E9" s="298"/>
      <c r="M9" s="298"/>
      <c r="N9" s="298"/>
      <c r="O9" s="298"/>
      <c r="P9" s="298"/>
      <c r="Q9" s="298"/>
      <c r="R9" s="298"/>
      <c r="S9" s="298"/>
      <c r="T9" s="298"/>
      <c r="U9" s="298"/>
      <c r="V9" s="298"/>
      <c r="W9" s="298"/>
      <c r="X9" s="298"/>
      <c r="Y9" s="298"/>
      <c r="Z9" s="298"/>
    </row>
    <row r="10" ht="15.75" customHeight="1">
      <c r="A10" s="298"/>
      <c r="B10" s="615" t="s">
        <v>320</v>
      </c>
      <c r="C10" s="687">
        <f>1-Assumption_sheet!E178</f>
        <v>0.5075698696</v>
      </c>
      <c r="D10" s="298"/>
      <c r="E10" s="298"/>
      <c r="F10" s="615" t="s">
        <v>321</v>
      </c>
      <c r="G10" s="298"/>
      <c r="H10" s="298"/>
      <c r="M10" s="169"/>
      <c r="N10" s="169"/>
      <c r="O10" s="298"/>
      <c r="P10" s="298"/>
      <c r="Q10" s="298"/>
      <c r="R10" s="298"/>
      <c r="S10" s="298"/>
      <c r="T10" s="298"/>
      <c r="U10" s="298"/>
      <c r="V10" s="298"/>
      <c r="W10" s="298"/>
      <c r="X10" s="298"/>
      <c r="Y10" s="298"/>
      <c r="Z10" s="298"/>
    </row>
    <row r="11" ht="15.75" customHeight="1">
      <c r="A11" s="298"/>
      <c r="B11" s="615" t="s">
        <v>322</v>
      </c>
      <c r="C11" s="688">
        <f>G15</f>
        <v>0.086445</v>
      </c>
      <c r="D11" s="298"/>
      <c r="E11" s="298"/>
      <c r="F11" s="689" t="s">
        <v>323</v>
      </c>
      <c r="G11" s="690"/>
      <c r="H11" s="200"/>
      <c r="I11" s="298"/>
      <c r="J11" s="298"/>
      <c r="K11" s="298"/>
      <c r="L11" s="298"/>
      <c r="M11" s="169"/>
      <c r="N11" s="169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</row>
    <row r="12" ht="15.75" customHeight="1">
      <c r="A12" s="298"/>
      <c r="B12" s="615" t="s">
        <v>324</v>
      </c>
      <c r="C12" s="687">
        <f>Assumption_sheet!E178</f>
        <v>0.4924301304</v>
      </c>
      <c r="D12" s="298"/>
      <c r="E12" s="298"/>
      <c r="F12" s="690" t="s">
        <v>325</v>
      </c>
      <c r="G12" s="306">
        <v>0.0427</v>
      </c>
      <c r="H12" s="201" t="s">
        <v>326</v>
      </c>
      <c r="J12" s="169"/>
      <c r="K12" s="169"/>
      <c r="L12" s="169"/>
      <c r="M12" s="169"/>
      <c r="N12" s="169"/>
      <c r="O12" s="298"/>
      <c r="P12" s="298"/>
      <c r="Q12" s="298"/>
      <c r="R12" s="298"/>
      <c r="S12" s="298"/>
      <c r="T12" s="298"/>
      <c r="U12" s="298"/>
      <c r="V12" s="298"/>
      <c r="W12" s="298"/>
      <c r="X12" s="298"/>
      <c r="Y12" s="298"/>
      <c r="Z12" s="298"/>
    </row>
    <row r="13" ht="15.75" customHeight="1">
      <c r="A13" s="298"/>
      <c r="B13" s="615" t="s">
        <v>327</v>
      </c>
      <c r="C13" s="688">
        <f>G16</f>
        <v>0.054</v>
      </c>
      <c r="D13" s="298"/>
      <c r="E13" s="298"/>
      <c r="F13" s="690" t="s">
        <v>328</v>
      </c>
      <c r="G13" s="315">
        <v>0.65</v>
      </c>
      <c r="H13" s="201" t="s">
        <v>329</v>
      </c>
      <c r="J13" s="169"/>
      <c r="K13" s="169"/>
      <c r="L13" s="169"/>
      <c r="M13" s="169"/>
      <c r="N13" s="169"/>
      <c r="O13" s="298"/>
      <c r="P13" s="298"/>
      <c r="Q13" s="298"/>
      <c r="R13" s="298"/>
      <c r="S13" s="298"/>
      <c r="T13" s="298"/>
      <c r="U13" s="298"/>
      <c r="V13" s="298"/>
      <c r="W13" s="298"/>
      <c r="X13" s="298"/>
      <c r="Y13" s="298"/>
      <c r="Z13" s="298"/>
    </row>
    <row r="14" ht="15.75" customHeight="1">
      <c r="A14" s="298"/>
      <c r="B14" s="691" t="s">
        <v>330</v>
      </c>
      <c r="C14" s="692">
        <v>0.070468104419068</v>
      </c>
      <c r="D14" s="298"/>
      <c r="E14" s="298"/>
      <c r="F14" s="690" t="s">
        <v>331</v>
      </c>
      <c r="G14" s="306">
        <v>0.11</v>
      </c>
      <c r="H14" s="200" t="s">
        <v>332</v>
      </c>
      <c r="J14" s="169"/>
      <c r="K14" s="169"/>
      <c r="L14" s="169"/>
      <c r="M14" s="169"/>
      <c r="N14" s="169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</row>
    <row r="15" ht="15.75" customHeight="1">
      <c r="A15" s="298"/>
      <c r="B15" s="298"/>
      <c r="C15" s="298"/>
      <c r="D15" s="298"/>
      <c r="E15" s="298"/>
      <c r="F15" s="690" t="s">
        <v>333</v>
      </c>
      <c r="G15" s="306">
        <f>G12+G13*(G14-G12)</f>
        <v>0.086445</v>
      </c>
      <c r="H15" s="200"/>
      <c r="I15" s="169"/>
      <c r="J15" s="169"/>
      <c r="K15" s="169"/>
      <c r="L15" s="169"/>
      <c r="M15" s="169"/>
      <c r="N15" s="169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</row>
    <row r="16" ht="15.75" customHeight="1">
      <c r="A16" s="298"/>
      <c r="B16" s="298"/>
      <c r="C16" s="298"/>
      <c r="D16" s="298"/>
      <c r="E16" s="298"/>
      <c r="F16" s="690" t="s">
        <v>334</v>
      </c>
      <c r="G16" s="306">
        <f>Assumption_sheet!E181</f>
        <v>0.054</v>
      </c>
      <c r="H16" s="200" t="s">
        <v>335</v>
      </c>
      <c r="J16" s="169"/>
      <c r="K16" s="169"/>
      <c r="L16" s="169"/>
      <c r="M16" s="298"/>
      <c r="N16" s="298"/>
      <c r="O16" s="298"/>
      <c r="P16" s="298"/>
      <c r="Q16" s="298"/>
      <c r="R16" s="298"/>
      <c r="S16" s="298"/>
      <c r="T16" s="298"/>
      <c r="U16" s="298"/>
      <c r="V16" s="298"/>
      <c r="W16" s="298"/>
      <c r="X16" s="298"/>
      <c r="Y16" s="298"/>
      <c r="Z16" s="298"/>
    </row>
    <row r="17" ht="15.75" customHeight="1">
      <c r="A17" s="298"/>
      <c r="B17" s="298"/>
      <c r="C17" s="298"/>
      <c r="D17" s="298"/>
      <c r="E17" s="298"/>
      <c r="F17" s="690"/>
      <c r="G17" s="690"/>
      <c r="H17" s="200"/>
      <c r="I17" s="169"/>
      <c r="J17" s="169"/>
      <c r="K17" s="169"/>
      <c r="L17" s="169"/>
      <c r="M17" s="298"/>
      <c r="N17" s="298"/>
      <c r="O17" s="298"/>
      <c r="P17" s="298"/>
      <c r="Q17" s="298"/>
      <c r="R17" s="298"/>
      <c r="S17" s="298"/>
      <c r="T17" s="298"/>
      <c r="U17" s="298"/>
      <c r="V17" s="298"/>
      <c r="W17" s="298"/>
      <c r="X17" s="298"/>
      <c r="Y17" s="298"/>
      <c r="Z17" s="298"/>
    </row>
    <row r="18" ht="15.75" customHeight="1">
      <c r="A18" s="298"/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298"/>
      <c r="W18" s="298"/>
      <c r="X18" s="298"/>
      <c r="Y18" s="298"/>
      <c r="Z18" s="298"/>
    </row>
    <row r="19" ht="15.75" customHeight="1">
      <c r="A19" s="298"/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</row>
    <row r="20" ht="15.75" customHeight="1">
      <c r="A20" s="298"/>
      <c r="B20" s="298"/>
      <c r="C20" s="298"/>
      <c r="D20" s="298"/>
      <c r="E20" s="298"/>
      <c r="F20" s="298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298"/>
      <c r="W20" s="298"/>
      <c r="X20" s="298"/>
      <c r="Y20" s="298"/>
      <c r="Z20" s="298"/>
    </row>
    <row r="21" ht="15.75" customHeight="1">
      <c r="A21" s="298"/>
      <c r="B21" s="298"/>
      <c r="C21" s="298"/>
      <c r="D21" s="298"/>
      <c r="E21" s="298"/>
      <c r="F21" s="298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298"/>
      <c r="W21" s="298"/>
      <c r="X21" s="298"/>
      <c r="Y21" s="298"/>
      <c r="Z21" s="298"/>
    </row>
    <row r="22" ht="15.75" customHeight="1">
      <c r="A22" s="298"/>
      <c r="B22" s="298"/>
      <c r="C22" s="298"/>
      <c r="D22" s="298"/>
      <c r="E22" s="298"/>
      <c r="F22" s="298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298"/>
      <c r="W22" s="298"/>
      <c r="X22" s="298"/>
      <c r="Y22" s="298"/>
      <c r="Z22" s="298"/>
    </row>
    <row r="23" ht="15.75" customHeight="1">
      <c r="A23" s="298"/>
      <c r="B23" s="298"/>
      <c r="C23" s="298"/>
      <c r="D23" s="298"/>
      <c r="E23" s="298"/>
      <c r="F23" s="298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298"/>
      <c r="W23" s="298"/>
      <c r="X23" s="298"/>
      <c r="Y23" s="298"/>
      <c r="Z23" s="298"/>
    </row>
    <row r="24" ht="15.75" customHeight="1">
      <c r="A24" s="298"/>
      <c r="B24" s="298"/>
      <c r="C24" s="298"/>
      <c r="D24" s="298"/>
      <c r="E24" s="298"/>
      <c r="F24" s="298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298"/>
      <c r="W24" s="298"/>
      <c r="X24" s="298"/>
      <c r="Y24" s="298"/>
      <c r="Z24" s="298"/>
    </row>
    <row r="25" ht="15.75" customHeight="1">
      <c r="A25" s="298"/>
      <c r="B25" s="298"/>
      <c r="C25" s="298"/>
      <c r="D25" s="298"/>
      <c r="E25" s="298"/>
      <c r="F25" s="298"/>
      <c r="G25" s="298"/>
      <c r="H25" s="298"/>
      <c r="I25" s="298"/>
      <c r="J25" s="298"/>
      <c r="K25" s="298"/>
      <c r="L25" s="298"/>
      <c r="M25" s="298"/>
      <c r="N25" s="298"/>
      <c r="O25" s="298"/>
      <c r="P25" s="298"/>
      <c r="Q25" s="298"/>
      <c r="R25" s="298"/>
      <c r="S25" s="298"/>
      <c r="T25" s="298"/>
      <c r="U25" s="298"/>
      <c r="V25" s="298"/>
      <c r="W25" s="298"/>
      <c r="X25" s="298"/>
      <c r="Y25" s="298"/>
      <c r="Z25" s="298"/>
    </row>
    <row r="26" ht="15.75" customHeight="1">
      <c r="A26" s="298"/>
      <c r="B26" s="298"/>
      <c r="C26" s="298"/>
      <c r="D26" s="298"/>
      <c r="E26" s="298"/>
      <c r="F26" s="298"/>
      <c r="G26" s="298"/>
      <c r="H26" s="298"/>
      <c r="I26" s="298"/>
      <c r="J26" s="298"/>
      <c r="K26" s="298"/>
      <c r="L26" s="298"/>
      <c r="M26" s="298"/>
      <c r="N26" s="298"/>
      <c r="O26" s="298"/>
      <c r="P26" s="298"/>
      <c r="Q26" s="298"/>
      <c r="R26" s="298"/>
      <c r="S26" s="298"/>
      <c r="T26" s="298"/>
      <c r="U26" s="298"/>
      <c r="V26" s="298"/>
      <c r="W26" s="298"/>
      <c r="X26" s="298"/>
      <c r="Y26" s="298"/>
      <c r="Z26" s="298"/>
    </row>
    <row r="27" ht="15.75" customHeight="1">
      <c r="A27" s="298"/>
      <c r="B27" s="298"/>
      <c r="C27" s="298"/>
      <c r="D27" s="298"/>
      <c r="E27" s="298"/>
      <c r="F27" s="298"/>
      <c r="G27" s="298"/>
      <c r="H27" s="298"/>
      <c r="I27" s="298"/>
      <c r="J27" s="298"/>
      <c r="K27" s="298"/>
      <c r="L27" s="298"/>
      <c r="M27" s="298"/>
      <c r="N27" s="298"/>
      <c r="O27" s="298"/>
      <c r="P27" s="298"/>
      <c r="Q27" s="298"/>
      <c r="R27" s="298"/>
      <c r="S27" s="298"/>
      <c r="T27" s="298"/>
      <c r="U27" s="298"/>
      <c r="V27" s="298"/>
      <c r="W27" s="298"/>
      <c r="X27" s="298"/>
      <c r="Y27" s="298"/>
      <c r="Z27" s="298"/>
    </row>
    <row r="28" ht="15.75" customHeight="1">
      <c r="A28" s="298"/>
      <c r="B28" s="298"/>
      <c r="C28" s="298"/>
      <c r="D28" s="298"/>
      <c r="E28" s="298"/>
      <c r="F28" s="298"/>
      <c r="G28" s="298"/>
      <c r="H28" s="298"/>
      <c r="I28" s="298"/>
      <c r="J28" s="298"/>
      <c r="K28" s="298"/>
      <c r="L28" s="298"/>
      <c r="M28" s="298"/>
      <c r="N28" s="298"/>
      <c r="O28" s="298"/>
      <c r="P28" s="298"/>
      <c r="Q28" s="298"/>
      <c r="R28" s="298"/>
      <c r="S28" s="298"/>
      <c r="T28" s="298"/>
      <c r="U28" s="298"/>
      <c r="V28" s="298"/>
      <c r="W28" s="298"/>
      <c r="X28" s="298"/>
      <c r="Y28" s="298"/>
      <c r="Z28" s="298"/>
    </row>
    <row r="29" ht="15.75" customHeight="1">
      <c r="A29" s="298"/>
      <c r="B29" s="298"/>
      <c r="C29" s="298"/>
      <c r="D29" s="298"/>
      <c r="E29" s="298"/>
      <c r="F29" s="298"/>
      <c r="G29" s="298"/>
      <c r="H29" s="298"/>
      <c r="I29" s="298"/>
      <c r="J29" s="298"/>
      <c r="K29" s="298"/>
      <c r="L29" s="298"/>
      <c r="M29" s="298"/>
      <c r="N29" s="298"/>
      <c r="O29" s="298"/>
      <c r="P29" s="298"/>
      <c r="Q29" s="298"/>
      <c r="R29" s="298"/>
      <c r="S29" s="298"/>
      <c r="T29" s="298"/>
      <c r="U29" s="298"/>
      <c r="V29" s="298"/>
      <c r="W29" s="298"/>
      <c r="X29" s="298"/>
      <c r="Y29" s="298"/>
      <c r="Z29" s="298"/>
    </row>
    <row r="30" ht="15.75" customHeight="1">
      <c r="A30" s="298"/>
      <c r="B30" s="298"/>
      <c r="C30" s="298"/>
      <c r="D30" s="298"/>
      <c r="E30" s="298"/>
      <c r="F30" s="298"/>
      <c r="G30" s="298"/>
      <c r="H30" s="298"/>
      <c r="I30" s="298"/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</row>
    <row r="31" ht="15.75" customHeight="1">
      <c r="A31" s="298"/>
      <c r="B31" s="298"/>
      <c r="C31" s="298"/>
      <c r="D31" s="298"/>
      <c r="E31" s="298"/>
      <c r="F31" s="298"/>
      <c r="G31" s="298"/>
      <c r="H31" s="298"/>
      <c r="I31" s="298"/>
      <c r="J31" s="298"/>
      <c r="K31" s="298"/>
      <c r="L31" s="298"/>
      <c r="M31" s="298"/>
      <c r="N31" s="298"/>
      <c r="O31" s="298"/>
      <c r="P31" s="298"/>
      <c r="Q31" s="298"/>
      <c r="R31" s="298"/>
      <c r="S31" s="298"/>
      <c r="T31" s="298"/>
      <c r="U31" s="298"/>
      <c r="V31" s="298"/>
      <c r="W31" s="298"/>
      <c r="X31" s="298"/>
      <c r="Y31" s="298"/>
      <c r="Z31" s="298"/>
    </row>
    <row r="32" ht="15.75" customHeight="1">
      <c r="A32" s="298"/>
      <c r="B32" s="298"/>
      <c r="C32" s="298"/>
      <c r="D32" s="298"/>
      <c r="E32" s="298"/>
      <c r="F32" s="298"/>
      <c r="G32" s="298"/>
      <c r="H32" s="298"/>
      <c r="I32" s="298"/>
      <c r="J32" s="298"/>
      <c r="K32" s="298"/>
      <c r="L32" s="298"/>
      <c r="M32" s="298"/>
      <c r="N32" s="298"/>
      <c r="O32" s="298"/>
      <c r="P32" s="298"/>
      <c r="Q32" s="298"/>
      <c r="R32" s="298"/>
      <c r="S32" s="298"/>
      <c r="T32" s="298"/>
      <c r="U32" s="298"/>
      <c r="V32" s="298"/>
      <c r="W32" s="298"/>
      <c r="X32" s="298"/>
      <c r="Y32" s="298"/>
      <c r="Z32" s="298"/>
    </row>
    <row r="33" ht="15.75" customHeight="1">
      <c r="A33" s="298"/>
      <c r="B33" s="298"/>
      <c r="C33" s="298"/>
      <c r="D33" s="298"/>
      <c r="E33" s="298"/>
      <c r="F33" s="298"/>
      <c r="G33" s="298"/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</row>
    <row r="34" ht="15.75" customHeight="1">
      <c r="A34" s="298"/>
      <c r="B34" s="298"/>
      <c r="C34" s="298"/>
      <c r="D34" s="298"/>
      <c r="E34" s="298"/>
      <c r="F34" s="298"/>
      <c r="G34" s="298"/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</row>
    <row r="35" ht="15.75" customHeight="1">
      <c r="A35" s="298"/>
      <c r="B35" s="298"/>
      <c r="C35" s="298"/>
      <c r="D35" s="298"/>
      <c r="E35" s="298"/>
      <c r="F35" s="298"/>
      <c r="G35" s="298"/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</row>
    <row r="36" ht="15.75" customHeight="1">
      <c r="A36" s="298"/>
      <c r="B36" s="298"/>
      <c r="C36" s="298"/>
      <c r="D36" s="298"/>
      <c r="E36" s="298"/>
      <c r="F36" s="298"/>
      <c r="G36" s="298"/>
      <c r="H36" s="298"/>
      <c r="I36" s="298"/>
      <c r="J36" s="298"/>
      <c r="K36" s="298"/>
      <c r="L36" s="298"/>
      <c r="M36" s="298"/>
      <c r="N36" s="298"/>
      <c r="O36" s="298"/>
      <c r="P36" s="298"/>
      <c r="Q36" s="298"/>
      <c r="R36" s="298"/>
      <c r="S36" s="298"/>
      <c r="T36" s="298"/>
      <c r="U36" s="298"/>
      <c r="V36" s="298"/>
      <c r="W36" s="298"/>
      <c r="X36" s="298"/>
      <c r="Y36" s="298"/>
      <c r="Z36" s="298"/>
    </row>
    <row r="37" ht="15.75" customHeight="1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</row>
    <row r="38" ht="15.75" customHeight="1">
      <c r="A38" s="298"/>
      <c r="B38" s="298"/>
      <c r="C38" s="298"/>
      <c r="D38" s="298"/>
      <c r="E38" s="298"/>
      <c r="F38" s="298"/>
      <c r="G38" s="298"/>
      <c r="H38" s="298"/>
      <c r="I38" s="298"/>
      <c r="J38" s="298"/>
      <c r="K38" s="298"/>
      <c r="L38" s="298"/>
      <c r="M38" s="298"/>
      <c r="N38" s="298"/>
      <c r="O38" s="298"/>
      <c r="P38" s="298"/>
      <c r="Q38" s="298"/>
      <c r="R38" s="298"/>
      <c r="S38" s="298"/>
      <c r="T38" s="298"/>
      <c r="U38" s="298"/>
      <c r="V38" s="298"/>
      <c r="W38" s="298"/>
      <c r="X38" s="298"/>
      <c r="Y38" s="298"/>
      <c r="Z38" s="298"/>
    </row>
    <row r="39" ht="15.75" customHeight="1">
      <c r="A39" s="298"/>
      <c r="B39" s="298"/>
      <c r="C39" s="298"/>
      <c r="D39" s="298"/>
      <c r="E39" s="298"/>
      <c r="F39" s="298"/>
      <c r="G39" s="298"/>
      <c r="H39" s="298"/>
      <c r="I39" s="298"/>
      <c r="J39" s="298"/>
      <c r="K39" s="298"/>
      <c r="L39" s="298"/>
      <c r="M39" s="298"/>
      <c r="N39" s="298"/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8"/>
      <c r="Z39" s="298"/>
    </row>
    <row r="40" ht="15.75" customHeight="1">
      <c r="A40" s="298"/>
      <c r="B40" s="298"/>
      <c r="C40" s="298"/>
      <c r="D40" s="298"/>
      <c r="E40" s="298"/>
      <c r="F40" s="298"/>
      <c r="G40" s="298"/>
      <c r="H40" s="298"/>
      <c r="I40" s="298"/>
      <c r="J40" s="298"/>
      <c r="K40" s="298"/>
      <c r="L40" s="298"/>
      <c r="M40" s="298"/>
      <c r="N40" s="298"/>
      <c r="O40" s="298"/>
      <c r="P40" s="298"/>
      <c r="Q40" s="298"/>
      <c r="R40" s="298"/>
      <c r="S40" s="298"/>
      <c r="T40" s="298"/>
      <c r="U40" s="298"/>
      <c r="V40" s="298"/>
      <c r="W40" s="298"/>
      <c r="X40" s="298"/>
      <c r="Y40" s="298"/>
      <c r="Z40" s="298"/>
    </row>
    <row r="41" ht="15.75" customHeight="1">
      <c r="A41" s="298"/>
      <c r="B41" s="298"/>
      <c r="C41" s="298"/>
      <c r="D41" s="298"/>
      <c r="E41" s="298"/>
      <c r="F41" s="298"/>
      <c r="G41" s="298"/>
      <c r="H41" s="298"/>
      <c r="I41" s="298"/>
      <c r="J41" s="298"/>
      <c r="K41" s="298"/>
      <c r="L41" s="298"/>
      <c r="M41" s="298"/>
      <c r="N41" s="298"/>
      <c r="O41" s="298"/>
      <c r="P41" s="298"/>
      <c r="Q41" s="298"/>
      <c r="R41" s="298"/>
      <c r="S41" s="298"/>
      <c r="T41" s="298"/>
      <c r="U41" s="298"/>
      <c r="V41" s="298"/>
      <c r="W41" s="298"/>
      <c r="X41" s="298"/>
      <c r="Y41" s="298"/>
      <c r="Z41" s="298"/>
    </row>
    <row r="42" ht="15.75" customHeight="1">
      <c r="A42" s="298"/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</row>
    <row r="43" ht="15.75" customHeight="1">
      <c r="A43" s="298"/>
      <c r="B43" s="298"/>
      <c r="C43" s="298"/>
      <c r="D43" s="298"/>
      <c r="E43" s="298"/>
      <c r="F43" s="298"/>
      <c r="G43" s="298"/>
      <c r="H43" s="298"/>
      <c r="I43" s="298"/>
      <c r="J43" s="298"/>
      <c r="K43" s="298"/>
      <c r="L43" s="298"/>
      <c r="M43" s="298"/>
      <c r="N43" s="298"/>
      <c r="O43" s="298"/>
      <c r="P43" s="298"/>
      <c r="Q43" s="298"/>
      <c r="R43" s="298"/>
      <c r="S43" s="298"/>
      <c r="T43" s="298"/>
      <c r="U43" s="298"/>
      <c r="V43" s="298"/>
      <c r="W43" s="298"/>
      <c r="X43" s="298"/>
      <c r="Y43" s="298"/>
      <c r="Z43" s="298"/>
    </row>
    <row r="44" ht="15.75" customHeight="1">
      <c r="A44" s="298"/>
      <c r="B44" s="298"/>
      <c r="C44" s="298"/>
      <c r="D44" s="298"/>
      <c r="E44" s="298"/>
      <c r="F44" s="298"/>
      <c r="G44" s="298"/>
      <c r="H44" s="298"/>
      <c r="I44" s="298"/>
      <c r="J44" s="298"/>
      <c r="K44" s="298"/>
      <c r="L44" s="298"/>
      <c r="M44" s="298"/>
      <c r="N44" s="298"/>
      <c r="O44" s="298"/>
      <c r="P44" s="298"/>
      <c r="Q44" s="298"/>
      <c r="R44" s="298"/>
      <c r="S44" s="298"/>
      <c r="T44" s="298"/>
      <c r="U44" s="298"/>
      <c r="V44" s="298"/>
      <c r="W44" s="298"/>
      <c r="X44" s="298"/>
      <c r="Y44" s="298"/>
      <c r="Z44" s="298"/>
    </row>
    <row r="45" ht="15.75" customHeight="1">
      <c r="A45" s="298"/>
      <c r="B45" s="298"/>
      <c r="C45" s="298"/>
      <c r="D45" s="298"/>
      <c r="E45" s="298"/>
      <c r="F45" s="298"/>
      <c r="G45" s="298"/>
      <c r="H45" s="298"/>
      <c r="I45" s="298"/>
      <c r="J45" s="298"/>
      <c r="K45" s="298"/>
      <c r="L45" s="298"/>
      <c r="M45" s="298"/>
      <c r="N45" s="298"/>
      <c r="O45" s="298"/>
      <c r="P45" s="298"/>
      <c r="Q45" s="298"/>
      <c r="R45" s="298"/>
      <c r="S45" s="298"/>
      <c r="T45" s="298"/>
      <c r="U45" s="298"/>
      <c r="V45" s="298"/>
      <c r="W45" s="298"/>
      <c r="X45" s="298"/>
      <c r="Y45" s="298"/>
      <c r="Z45" s="298"/>
    </row>
    <row r="46" ht="15.75" customHeight="1">
      <c r="A46" s="298"/>
      <c r="B46" s="298"/>
      <c r="C46" s="298"/>
      <c r="D46" s="298"/>
      <c r="E46" s="298"/>
      <c r="F46" s="298"/>
      <c r="G46" s="298"/>
      <c r="H46" s="298"/>
      <c r="I46" s="298"/>
      <c r="J46" s="298"/>
      <c r="K46" s="298"/>
      <c r="L46" s="298"/>
      <c r="M46" s="298"/>
      <c r="N46" s="298"/>
      <c r="O46" s="298"/>
      <c r="P46" s="298"/>
      <c r="Q46" s="298"/>
      <c r="R46" s="298"/>
      <c r="S46" s="298"/>
      <c r="T46" s="298"/>
      <c r="U46" s="298"/>
      <c r="V46" s="298"/>
      <c r="W46" s="298"/>
      <c r="X46" s="298"/>
      <c r="Y46" s="298"/>
      <c r="Z46" s="298"/>
    </row>
    <row r="47" ht="15.75" customHeight="1">
      <c r="A47" s="298"/>
      <c r="B47" s="298"/>
      <c r="C47" s="298"/>
      <c r="D47" s="298"/>
      <c r="E47" s="298"/>
      <c r="F47" s="298"/>
      <c r="G47" s="298"/>
      <c r="H47" s="298"/>
      <c r="I47" s="298"/>
      <c r="J47" s="298"/>
      <c r="K47" s="298"/>
      <c r="L47" s="298"/>
      <c r="M47" s="298"/>
      <c r="N47" s="298"/>
      <c r="O47" s="298"/>
      <c r="P47" s="298"/>
      <c r="Q47" s="298"/>
      <c r="R47" s="298"/>
      <c r="S47" s="298"/>
      <c r="T47" s="298"/>
      <c r="U47" s="298"/>
      <c r="V47" s="298"/>
      <c r="W47" s="298"/>
      <c r="X47" s="298"/>
      <c r="Y47" s="298"/>
      <c r="Z47" s="298"/>
    </row>
    <row r="48" ht="15.75" customHeight="1">
      <c r="A48" s="298"/>
      <c r="B48" s="298"/>
      <c r="C48" s="298"/>
      <c r="D48" s="298"/>
      <c r="E48" s="298"/>
      <c r="F48" s="298"/>
      <c r="G48" s="298"/>
      <c r="H48" s="298"/>
      <c r="I48" s="298"/>
      <c r="J48" s="298"/>
      <c r="K48" s="298"/>
      <c r="L48" s="298"/>
      <c r="M48" s="298"/>
      <c r="N48" s="298"/>
      <c r="O48" s="298"/>
      <c r="P48" s="298"/>
      <c r="Q48" s="298"/>
      <c r="R48" s="298"/>
      <c r="S48" s="298"/>
      <c r="T48" s="298"/>
      <c r="U48" s="298"/>
      <c r="V48" s="298"/>
      <c r="W48" s="298"/>
      <c r="X48" s="298"/>
      <c r="Y48" s="298"/>
      <c r="Z48" s="298"/>
    </row>
    <row r="49" ht="15.75" customHeight="1">
      <c r="A49" s="298"/>
      <c r="B49" s="298"/>
      <c r="C49" s="298"/>
      <c r="D49" s="298"/>
      <c r="E49" s="298"/>
      <c r="F49" s="298"/>
      <c r="G49" s="298"/>
      <c r="H49" s="298"/>
      <c r="I49" s="298"/>
      <c r="J49" s="298"/>
      <c r="K49" s="298"/>
      <c r="L49" s="298"/>
      <c r="M49" s="298"/>
      <c r="N49" s="298"/>
      <c r="O49" s="298"/>
      <c r="P49" s="298"/>
      <c r="Q49" s="298"/>
      <c r="R49" s="298"/>
      <c r="S49" s="298"/>
      <c r="T49" s="298"/>
      <c r="U49" s="298"/>
      <c r="V49" s="298"/>
      <c r="W49" s="298"/>
      <c r="X49" s="298"/>
      <c r="Y49" s="298"/>
      <c r="Z49" s="298"/>
    </row>
    <row r="50" ht="15.75" customHeight="1">
      <c r="A50" s="298"/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</row>
    <row r="51" ht="15.75" customHeight="1">
      <c r="A51" s="298"/>
      <c r="B51" s="298"/>
      <c r="C51" s="298"/>
      <c r="D51" s="298"/>
      <c r="E51" s="298"/>
      <c r="F51" s="298"/>
      <c r="G51" s="298"/>
      <c r="H51" s="298"/>
      <c r="I51" s="298"/>
      <c r="J51" s="298"/>
      <c r="K51" s="298"/>
      <c r="L51" s="298"/>
      <c r="M51" s="298"/>
      <c r="N51" s="298"/>
      <c r="O51" s="298"/>
      <c r="P51" s="298"/>
      <c r="Q51" s="298"/>
      <c r="R51" s="298"/>
      <c r="S51" s="298"/>
      <c r="T51" s="298"/>
      <c r="U51" s="298"/>
      <c r="V51" s="298"/>
      <c r="W51" s="298"/>
      <c r="X51" s="298"/>
      <c r="Y51" s="298"/>
      <c r="Z51" s="298"/>
    </row>
    <row r="52" ht="15.75" customHeight="1">
      <c r="A52" s="298"/>
      <c r="B52" s="298"/>
      <c r="C52" s="298"/>
      <c r="D52" s="298"/>
      <c r="E52" s="298"/>
      <c r="F52" s="298"/>
      <c r="G52" s="298"/>
      <c r="H52" s="298"/>
      <c r="I52" s="298"/>
      <c r="J52" s="298"/>
      <c r="K52" s="298"/>
      <c r="L52" s="298"/>
      <c r="M52" s="298"/>
      <c r="N52" s="298"/>
      <c r="O52" s="298"/>
      <c r="P52" s="298"/>
      <c r="Q52" s="298"/>
      <c r="R52" s="298"/>
      <c r="S52" s="298"/>
      <c r="T52" s="298"/>
      <c r="U52" s="298"/>
      <c r="V52" s="298"/>
      <c r="W52" s="298"/>
      <c r="X52" s="298"/>
      <c r="Y52" s="298"/>
      <c r="Z52" s="298"/>
    </row>
    <row r="53" ht="15.75" customHeight="1">
      <c r="A53" s="298"/>
      <c r="B53" s="298"/>
      <c r="C53" s="298"/>
      <c r="D53" s="298"/>
      <c r="E53" s="298"/>
      <c r="F53" s="298"/>
      <c r="G53" s="298"/>
      <c r="H53" s="298"/>
      <c r="I53" s="298"/>
      <c r="J53" s="298"/>
      <c r="K53" s="298"/>
      <c r="L53" s="298"/>
      <c r="M53" s="298"/>
      <c r="N53" s="298"/>
      <c r="O53" s="298"/>
      <c r="P53" s="298"/>
      <c r="Q53" s="298"/>
      <c r="R53" s="298"/>
      <c r="S53" s="298"/>
      <c r="T53" s="298"/>
      <c r="U53" s="298"/>
      <c r="V53" s="298"/>
      <c r="W53" s="298"/>
      <c r="X53" s="298"/>
      <c r="Y53" s="298"/>
      <c r="Z53" s="298"/>
    </row>
    <row r="54" ht="15.75" customHeight="1">
      <c r="A54" s="298"/>
      <c r="B54" s="298"/>
      <c r="C54" s="298"/>
      <c r="D54" s="298"/>
      <c r="E54" s="298"/>
      <c r="F54" s="298"/>
      <c r="G54" s="298"/>
      <c r="H54" s="298"/>
      <c r="I54" s="298"/>
      <c r="J54" s="298"/>
      <c r="K54" s="298"/>
      <c r="L54" s="298"/>
      <c r="M54" s="298"/>
      <c r="N54" s="298"/>
      <c r="O54" s="298"/>
      <c r="P54" s="298"/>
      <c r="Q54" s="298"/>
      <c r="R54" s="298"/>
      <c r="S54" s="298"/>
      <c r="T54" s="298"/>
      <c r="U54" s="298"/>
      <c r="V54" s="298"/>
      <c r="W54" s="298"/>
      <c r="X54" s="298"/>
      <c r="Y54" s="298"/>
      <c r="Z54" s="298"/>
    </row>
    <row r="55" ht="15.75" customHeight="1">
      <c r="A55" s="298"/>
      <c r="B55" s="298"/>
      <c r="C55" s="298"/>
      <c r="D55" s="298"/>
      <c r="E55" s="298"/>
      <c r="F55" s="298"/>
      <c r="G55" s="298"/>
      <c r="H55" s="298"/>
      <c r="I55" s="298"/>
      <c r="J55" s="298"/>
      <c r="K55" s="298"/>
      <c r="L55" s="298"/>
      <c r="M55" s="298"/>
      <c r="N55" s="298"/>
      <c r="O55" s="298"/>
      <c r="P55" s="298"/>
      <c r="Q55" s="298"/>
      <c r="R55" s="298"/>
      <c r="S55" s="298"/>
      <c r="T55" s="298"/>
      <c r="U55" s="298"/>
      <c r="V55" s="298"/>
      <c r="W55" s="298"/>
      <c r="X55" s="298"/>
      <c r="Y55" s="298"/>
      <c r="Z55" s="298"/>
    </row>
    <row r="56" ht="15.75" customHeight="1">
      <c r="A56" s="298"/>
      <c r="B56" s="298"/>
      <c r="C56" s="298"/>
      <c r="D56" s="298"/>
      <c r="E56" s="298"/>
      <c r="F56" s="298"/>
      <c r="G56" s="298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</row>
    <row r="57" ht="15.75" customHeight="1">
      <c r="A57" s="298"/>
      <c r="B57" s="298"/>
      <c r="C57" s="298"/>
      <c r="D57" s="298"/>
      <c r="E57" s="298"/>
      <c r="F57" s="298"/>
      <c r="G57" s="298"/>
      <c r="H57" s="298"/>
      <c r="I57" s="298"/>
      <c r="J57" s="298"/>
      <c r="K57" s="298"/>
      <c r="L57" s="298"/>
      <c r="M57" s="298"/>
      <c r="N57" s="298"/>
      <c r="O57" s="298"/>
      <c r="P57" s="298"/>
      <c r="Q57" s="298"/>
      <c r="R57" s="298"/>
      <c r="S57" s="298"/>
      <c r="T57" s="298"/>
      <c r="U57" s="298"/>
      <c r="V57" s="298"/>
      <c r="W57" s="298"/>
      <c r="X57" s="298"/>
      <c r="Y57" s="298"/>
      <c r="Z57" s="298"/>
    </row>
    <row r="58" ht="15.75" customHeight="1">
      <c r="A58" s="298"/>
      <c r="B58" s="298"/>
      <c r="C58" s="298"/>
      <c r="D58" s="298"/>
      <c r="E58" s="298"/>
      <c r="F58" s="298"/>
      <c r="G58" s="298"/>
      <c r="H58" s="298"/>
      <c r="I58" s="298"/>
      <c r="J58" s="298"/>
      <c r="K58" s="298"/>
      <c r="L58" s="298"/>
      <c r="M58" s="298"/>
      <c r="N58" s="298"/>
      <c r="O58" s="298"/>
      <c r="P58" s="298"/>
      <c r="Q58" s="298"/>
      <c r="R58" s="298"/>
      <c r="S58" s="298"/>
      <c r="T58" s="298"/>
      <c r="U58" s="298"/>
      <c r="V58" s="298"/>
      <c r="W58" s="298"/>
      <c r="X58" s="298"/>
      <c r="Y58" s="298"/>
      <c r="Z58" s="298"/>
    </row>
    <row r="59" ht="15.75" customHeight="1">
      <c r="A59" s="298"/>
      <c r="B59" s="298"/>
      <c r="C59" s="298"/>
      <c r="D59" s="298"/>
      <c r="E59" s="298"/>
      <c r="F59" s="298"/>
      <c r="G59" s="298"/>
      <c r="H59" s="298"/>
      <c r="I59" s="298"/>
      <c r="J59" s="298"/>
      <c r="K59" s="298"/>
      <c r="L59" s="298"/>
      <c r="M59" s="298"/>
      <c r="N59" s="298"/>
      <c r="O59" s="298"/>
      <c r="P59" s="298"/>
      <c r="Q59" s="298"/>
      <c r="R59" s="298"/>
      <c r="S59" s="298"/>
      <c r="T59" s="298"/>
      <c r="U59" s="298"/>
      <c r="V59" s="298"/>
      <c r="W59" s="298"/>
      <c r="X59" s="298"/>
      <c r="Y59" s="298"/>
      <c r="Z59" s="298"/>
    </row>
    <row r="60" ht="15.75" customHeight="1">
      <c r="A60" s="298"/>
      <c r="B60" s="298"/>
      <c r="C60" s="298"/>
      <c r="D60" s="298"/>
      <c r="E60" s="298"/>
      <c r="F60" s="298"/>
      <c r="G60" s="298"/>
      <c r="H60" s="298"/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</row>
    <row r="61" ht="15.75" customHeight="1">
      <c r="A61" s="298"/>
      <c r="B61" s="298"/>
      <c r="C61" s="298"/>
      <c r="D61" s="298"/>
      <c r="E61" s="298"/>
      <c r="F61" s="298"/>
      <c r="G61" s="298"/>
      <c r="H61" s="298"/>
      <c r="I61" s="298"/>
      <c r="J61" s="298"/>
      <c r="K61" s="298"/>
      <c r="L61" s="298"/>
      <c r="M61" s="298"/>
      <c r="N61" s="298"/>
      <c r="O61" s="298"/>
      <c r="P61" s="298"/>
      <c r="Q61" s="298"/>
      <c r="R61" s="298"/>
      <c r="S61" s="298"/>
      <c r="T61" s="298"/>
      <c r="U61" s="298"/>
      <c r="V61" s="298"/>
      <c r="W61" s="298"/>
      <c r="X61" s="298"/>
      <c r="Y61" s="298"/>
      <c r="Z61" s="298"/>
    </row>
    <row r="62" ht="15.75" customHeight="1">
      <c r="A62" s="298"/>
      <c r="B62" s="298"/>
      <c r="C62" s="298"/>
      <c r="D62" s="298"/>
      <c r="E62" s="298"/>
      <c r="F62" s="298"/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</row>
    <row r="63" ht="15.75" customHeight="1">
      <c r="A63" s="298"/>
      <c r="B63" s="298"/>
      <c r="C63" s="298"/>
      <c r="D63" s="298"/>
      <c r="E63" s="298"/>
      <c r="F63" s="298"/>
      <c r="G63" s="298"/>
      <c r="H63" s="298"/>
      <c r="I63" s="298"/>
      <c r="J63" s="298"/>
      <c r="K63" s="298"/>
      <c r="L63" s="298"/>
      <c r="M63" s="298"/>
      <c r="N63" s="298"/>
      <c r="O63" s="298"/>
      <c r="P63" s="298"/>
      <c r="Q63" s="298"/>
      <c r="R63" s="298"/>
      <c r="S63" s="298"/>
      <c r="T63" s="298"/>
      <c r="U63" s="298"/>
      <c r="V63" s="298"/>
      <c r="W63" s="298"/>
      <c r="X63" s="298"/>
      <c r="Y63" s="298"/>
      <c r="Z63" s="298"/>
    </row>
    <row r="64" ht="15.75" customHeight="1">
      <c r="A64" s="298"/>
      <c r="B64" s="298"/>
      <c r="C64" s="298"/>
      <c r="D64" s="298"/>
      <c r="E64" s="298"/>
      <c r="F64" s="298"/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</row>
    <row r="65" ht="15.75" customHeight="1">
      <c r="A65" s="298"/>
      <c r="B65" s="298"/>
      <c r="C65" s="298"/>
      <c r="D65" s="298"/>
      <c r="E65" s="298"/>
      <c r="F65" s="298"/>
      <c r="G65" s="298"/>
      <c r="H65" s="298"/>
      <c r="I65" s="298"/>
      <c r="J65" s="298"/>
      <c r="K65" s="298"/>
      <c r="L65" s="298"/>
      <c r="M65" s="298"/>
      <c r="N65" s="298"/>
      <c r="O65" s="298"/>
      <c r="P65" s="298"/>
      <c r="Q65" s="298"/>
      <c r="R65" s="298"/>
      <c r="S65" s="298"/>
      <c r="T65" s="298"/>
      <c r="U65" s="298"/>
      <c r="V65" s="298"/>
      <c r="W65" s="298"/>
      <c r="X65" s="298"/>
      <c r="Y65" s="298"/>
      <c r="Z65" s="298"/>
    </row>
    <row r="66" ht="15.75" customHeight="1">
      <c r="A66" s="298"/>
      <c r="B66" s="298"/>
      <c r="C66" s="298"/>
      <c r="D66" s="298"/>
      <c r="E66" s="298"/>
      <c r="F66" s="298"/>
      <c r="G66" s="298"/>
      <c r="H66" s="298"/>
      <c r="I66" s="298"/>
      <c r="J66" s="298"/>
      <c r="K66" s="298"/>
      <c r="L66" s="298"/>
      <c r="M66" s="298"/>
      <c r="N66" s="298"/>
      <c r="O66" s="298"/>
      <c r="P66" s="298"/>
      <c r="Q66" s="298"/>
      <c r="R66" s="298"/>
      <c r="S66" s="298"/>
      <c r="T66" s="298"/>
      <c r="U66" s="298"/>
      <c r="V66" s="298"/>
      <c r="W66" s="298"/>
      <c r="X66" s="298"/>
      <c r="Y66" s="298"/>
      <c r="Z66" s="298"/>
    </row>
    <row r="67" ht="15.75" customHeight="1">
      <c r="A67" s="298"/>
      <c r="B67" s="298"/>
      <c r="C67" s="298"/>
      <c r="D67" s="298"/>
      <c r="E67" s="298"/>
      <c r="F67" s="298"/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</row>
    <row r="68" ht="15.75" customHeight="1">
      <c r="A68" s="298"/>
      <c r="B68" s="298"/>
      <c r="C68" s="298"/>
      <c r="D68" s="298"/>
      <c r="E68" s="298"/>
      <c r="F68" s="298"/>
      <c r="G68" s="298"/>
      <c r="H68" s="298"/>
      <c r="I68" s="298"/>
      <c r="J68" s="298"/>
      <c r="K68" s="298"/>
      <c r="L68" s="298"/>
      <c r="M68" s="298"/>
      <c r="N68" s="298"/>
      <c r="O68" s="298"/>
      <c r="P68" s="298"/>
      <c r="Q68" s="298"/>
      <c r="R68" s="298"/>
      <c r="S68" s="298"/>
      <c r="T68" s="298"/>
      <c r="U68" s="298"/>
      <c r="V68" s="298"/>
      <c r="W68" s="298"/>
      <c r="X68" s="298"/>
      <c r="Y68" s="298"/>
      <c r="Z68" s="298"/>
    </row>
    <row r="69" ht="15.75" customHeight="1">
      <c r="A69" s="298"/>
      <c r="B69" s="298"/>
      <c r="C69" s="298"/>
      <c r="D69" s="298"/>
      <c r="E69" s="298"/>
      <c r="F69" s="298"/>
      <c r="G69" s="298"/>
      <c r="H69" s="298"/>
      <c r="I69" s="298"/>
      <c r="J69" s="298"/>
      <c r="K69" s="298"/>
      <c r="L69" s="298"/>
      <c r="M69" s="298"/>
      <c r="N69" s="298"/>
      <c r="O69" s="298"/>
      <c r="P69" s="298"/>
      <c r="Q69" s="298"/>
      <c r="R69" s="298"/>
      <c r="S69" s="298"/>
      <c r="T69" s="298"/>
      <c r="U69" s="298"/>
      <c r="V69" s="298"/>
      <c r="W69" s="298"/>
      <c r="X69" s="298"/>
      <c r="Y69" s="298"/>
      <c r="Z69" s="298"/>
    </row>
    <row r="70" ht="15.75" customHeight="1">
      <c r="A70" s="298"/>
      <c r="B70" s="298"/>
      <c r="C70" s="298"/>
      <c r="D70" s="298"/>
      <c r="E70" s="298"/>
      <c r="F70" s="298"/>
      <c r="G70" s="298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</row>
    <row r="71" ht="15.75" customHeight="1">
      <c r="A71" s="298"/>
      <c r="B71" s="298"/>
      <c r="C71" s="298"/>
      <c r="D71" s="298"/>
      <c r="E71" s="298"/>
      <c r="F71" s="298"/>
      <c r="G71" s="298"/>
      <c r="H71" s="298"/>
      <c r="I71" s="298"/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</row>
    <row r="72" ht="15.75" customHeight="1">
      <c r="A72" s="298"/>
      <c r="B72" s="298"/>
      <c r="C72" s="298"/>
      <c r="D72" s="298"/>
      <c r="E72" s="298"/>
      <c r="F72" s="298"/>
      <c r="G72" s="298"/>
      <c r="H72" s="298"/>
      <c r="I72" s="298"/>
      <c r="J72" s="298"/>
      <c r="K72" s="298"/>
      <c r="L72" s="298"/>
      <c r="M72" s="298"/>
      <c r="N72" s="298"/>
      <c r="O72" s="298"/>
      <c r="P72" s="298"/>
      <c r="Q72" s="298"/>
      <c r="R72" s="298"/>
      <c r="S72" s="298"/>
      <c r="T72" s="298"/>
      <c r="U72" s="298"/>
      <c r="V72" s="298"/>
      <c r="W72" s="298"/>
      <c r="X72" s="298"/>
      <c r="Y72" s="298"/>
      <c r="Z72" s="298"/>
    </row>
    <row r="73" ht="15.75" customHeight="1">
      <c r="A73" s="298"/>
      <c r="B73" s="298"/>
      <c r="C73" s="298"/>
      <c r="D73" s="298"/>
      <c r="E73" s="298"/>
      <c r="F73" s="298"/>
      <c r="G73" s="298"/>
      <c r="H73" s="298"/>
      <c r="I73" s="298"/>
      <c r="J73" s="298"/>
      <c r="K73" s="298"/>
      <c r="L73" s="298"/>
      <c r="M73" s="298"/>
      <c r="N73" s="298"/>
      <c r="O73" s="298"/>
      <c r="P73" s="298"/>
      <c r="Q73" s="298"/>
      <c r="R73" s="298"/>
      <c r="S73" s="298"/>
      <c r="T73" s="298"/>
      <c r="U73" s="298"/>
      <c r="V73" s="298"/>
      <c r="W73" s="298"/>
      <c r="X73" s="298"/>
      <c r="Y73" s="298"/>
      <c r="Z73" s="298"/>
    </row>
    <row r="74" ht="15.75" customHeight="1">
      <c r="A74" s="298"/>
      <c r="B74" s="298"/>
      <c r="C74" s="298"/>
      <c r="D74" s="298"/>
      <c r="E74" s="298"/>
      <c r="F74" s="298"/>
      <c r="G74" s="298"/>
      <c r="H74" s="298"/>
      <c r="I74" s="298"/>
      <c r="J74" s="298"/>
      <c r="K74" s="298"/>
      <c r="L74" s="298"/>
      <c r="M74" s="298"/>
      <c r="N74" s="298"/>
      <c r="O74" s="298"/>
      <c r="P74" s="298"/>
      <c r="Q74" s="298"/>
      <c r="R74" s="298"/>
      <c r="S74" s="298"/>
      <c r="T74" s="298"/>
      <c r="U74" s="298"/>
      <c r="V74" s="298"/>
      <c r="W74" s="298"/>
      <c r="X74" s="298"/>
      <c r="Y74" s="298"/>
      <c r="Z74" s="298"/>
    </row>
    <row r="75" ht="15.75" customHeight="1">
      <c r="A75" s="298"/>
      <c r="B75" s="298"/>
      <c r="C75" s="298"/>
      <c r="D75" s="298"/>
      <c r="E75" s="298"/>
      <c r="F75" s="298"/>
      <c r="G75" s="298"/>
      <c r="H75" s="298"/>
      <c r="I75" s="298"/>
      <c r="J75" s="298"/>
      <c r="K75" s="298"/>
      <c r="L75" s="298"/>
      <c r="M75" s="298"/>
      <c r="N75" s="298"/>
      <c r="O75" s="298"/>
      <c r="P75" s="298"/>
      <c r="Q75" s="298"/>
      <c r="R75" s="298"/>
      <c r="S75" s="298"/>
      <c r="T75" s="298"/>
      <c r="U75" s="298"/>
      <c r="V75" s="298"/>
      <c r="W75" s="298"/>
      <c r="X75" s="298"/>
      <c r="Y75" s="298"/>
      <c r="Z75" s="298"/>
    </row>
    <row r="76" ht="15.75" customHeight="1">
      <c r="A76" s="298"/>
      <c r="B76" s="298"/>
      <c r="C76" s="298"/>
      <c r="D76" s="298"/>
      <c r="E76" s="298"/>
      <c r="F76" s="298"/>
      <c r="G76" s="298"/>
      <c r="H76" s="298"/>
      <c r="I76" s="298"/>
      <c r="J76" s="298"/>
      <c r="K76" s="298"/>
      <c r="L76" s="298"/>
      <c r="M76" s="298"/>
      <c r="N76" s="298"/>
      <c r="O76" s="298"/>
      <c r="P76" s="298"/>
      <c r="Q76" s="298"/>
      <c r="R76" s="298"/>
      <c r="S76" s="298"/>
      <c r="T76" s="298"/>
      <c r="U76" s="298"/>
      <c r="V76" s="298"/>
      <c r="W76" s="298"/>
      <c r="X76" s="298"/>
      <c r="Y76" s="298"/>
      <c r="Z76" s="298"/>
    </row>
    <row r="77" ht="15.75" customHeight="1">
      <c r="A77" s="298"/>
      <c r="B77" s="298"/>
      <c r="C77" s="298"/>
      <c r="D77" s="298"/>
      <c r="E77" s="298"/>
      <c r="F77" s="298"/>
      <c r="G77" s="298"/>
      <c r="H77" s="298"/>
      <c r="I77" s="298"/>
      <c r="J77" s="298"/>
      <c r="K77" s="298"/>
      <c r="L77" s="298"/>
      <c r="M77" s="298"/>
      <c r="N77" s="298"/>
      <c r="O77" s="298"/>
      <c r="P77" s="298"/>
      <c r="Q77" s="298"/>
      <c r="R77" s="298"/>
      <c r="S77" s="298"/>
      <c r="T77" s="298"/>
      <c r="U77" s="298"/>
      <c r="V77" s="298"/>
      <c r="W77" s="298"/>
      <c r="X77" s="298"/>
      <c r="Y77" s="298"/>
      <c r="Z77" s="298"/>
    </row>
    <row r="78" ht="15.75" customHeight="1">
      <c r="A78" s="298"/>
      <c r="B78" s="298"/>
      <c r="C78" s="298"/>
      <c r="D78" s="298"/>
      <c r="E78" s="298"/>
      <c r="F78" s="298"/>
      <c r="G78" s="298"/>
      <c r="H78" s="298"/>
      <c r="I78" s="298"/>
      <c r="J78" s="298"/>
      <c r="K78" s="298"/>
      <c r="L78" s="298"/>
      <c r="M78" s="298"/>
      <c r="N78" s="298"/>
      <c r="O78" s="298"/>
      <c r="P78" s="298"/>
      <c r="Q78" s="298"/>
      <c r="R78" s="298"/>
      <c r="S78" s="298"/>
      <c r="T78" s="298"/>
      <c r="U78" s="298"/>
      <c r="V78" s="298"/>
      <c r="W78" s="298"/>
      <c r="X78" s="298"/>
      <c r="Y78" s="298"/>
      <c r="Z78" s="298"/>
    </row>
    <row r="79" ht="15.75" customHeight="1">
      <c r="A79" s="298"/>
      <c r="B79" s="298"/>
      <c r="C79" s="298"/>
      <c r="D79" s="298"/>
      <c r="E79" s="298"/>
      <c r="F79" s="298"/>
      <c r="G79" s="298"/>
      <c r="H79" s="298"/>
      <c r="I79" s="298"/>
      <c r="J79" s="298"/>
      <c r="K79" s="298"/>
      <c r="L79" s="298"/>
      <c r="M79" s="298"/>
      <c r="N79" s="298"/>
      <c r="O79" s="298"/>
      <c r="P79" s="298"/>
      <c r="Q79" s="298"/>
      <c r="R79" s="298"/>
      <c r="S79" s="298"/>
      <c r="T79" s="298"/>
      <c r="U79" s="298"/>
      <c r="V79" s="298"/>
      <c r="W79" s="298"/>
      <c r="X79" s="298"/>
      <c r="Y79" s="298"/>
      <c r="Z79" s="298"/>
    </row>
    <row r="80" ht="15.75" customHeight="1">
      <c r="A80" s="298"/>
      <c r="B80" s="298"/>
      <c r="C80" s="298"/>
      <c r="D80" s="298"/>
      <c r="E80" s="298"/>
      <c r="F80" s="298"/>
      <c r="G80" s="298"/>
      <c r="H80" s="298"/>
      <c r="I80" s="298"/>
      <c r="J80" s="298"/>
      <c r="K80" s="298"/>
      <c r="L80" s="298"/>
      <c r="M80" s="298"/>
      <c r="N80" s="298"/>
      <c r="O80" s="298"/>
      <c r="P80" s="298"/>
      <c r="Q80" s="298"/>
      <c r="R80" s="298"/>
      <c r="S80" s="298"/>
      <c r="T80" s="298"/>
      <c r="U80" s="298"/>
      <c r="V80" s="298"/>
      <c r="W80" s="298"/>
      <c r="X80" s="298"/>
      <c r="Y80" s="298"/>
      <c r="Z80" s="298"/>
    </row>
    <row r="81" ht="15.75" customHeight="1">
      <c r="A81" s="298"/>
      <c r="B81" s="298"/>
      <c r="C81" s="298"/>
      <c r="D81" s="298"/>
      <c r="E81" s="298"/>
      <c r="F81" s="298"/>
      <c r="G81" s="298"/>
      <c r="H81" s="298"/>
      <c r="I81" s="298"/>
      <c r="J81" s="298"/>
      <c r="K81" s="298"/>
      <c r="L81" s="298"/>
      <c r="M81" s="298"/>
      <c r="N81" s="298"/>
      <c r="O81" s="298"/>
      <c r="P81" s="298"/>
      <c r="Q81" s="298"/>
      <c r="R81" s="298"/>
      <c r="S81" s="298"/>
      <c r="T81" s="298"/>
      <c r="U81" s="298"/>
      <c r="V81" s="298"/>
      <c r="W81" s="298"/>
      <c r="X81" s="298"/>
      <c r="Y81" s="298"/>
      <c r="Z81" s="298"/>
    </row>
    <row r="82" ht="15.75" customHeight="1">
      <c r="A82" s="298"/>
      <c r="B82" s="298"/>
      <c r="C82" s="298"/>
      <c r="D82" s="298"/>
      <c r="E82" s="298"/>
      <c r="F82" s="298"/>
      <c r="G82" s="298"/>
      <c r="H82" s="298"/>
      <c r="I82" s="298"/>
      <c r="J82" s="298"/>
      <c r="K82" s="298"/>
      <c r="L82" s="298"/>
      <c r="M82" s="298"/>
      <c r="N82" s="298"/>
      <c r="O82" s="298"/>
      <c r="P82" s="298"/>
      <c r="Q82" s="298"/>
      <c r="R82" s="298"/>
      <c r="S82" s="298"/>
      <c r="T82" s="298"/>
      <c r="U82" s="298"/>
      <c r="V82" s="298"/>
      <c r="W82" s="298"/>
      <c r="X82" s="298"/>
      <c r="Y82" s="298"/>
      <c r="Z82" s="298"/>
    </row>
    <row r="83" ht="15.75" customHeight="1">
      <c r="A83" s="298"/>
      <c r="B83" s="298"/>
      <c r="C83" s="298"/>
      <c r="D83" s="298"/>
      <c r="E83" s="298"/>
      <c r="F83" s="298"/>
      <c r="G83" s="298"/>
      <c r="H83" s="298"/>
      <c r="I83" s="298"/>
      <c r="J83" s="298"/>
      <c r="K83" s="298"/>
      <c r="L83" s="298"/>
      <c r="M83" s="298"/>
      <c r="N83" s="298"/>
      <c r="O83" s="298"/>
      <c r="P83" s="298"/>
      <c r="Q83" s="298"/>
      <c r="R83" s="298"/>
      <c r="S83" s="298"/>
      <c r="T83" s="298"/>
      <c r="U83" s="298"/>
      <c r="V83" s="298"/>
      <c r="W83" s="298"/>
      <c r="X83" s="298"/>
      <c r="Y83" s="298"/>
      <c r="Z83" s="298"/>
    </row>
    <row r="84" ht="15.75" customHeight="1">
      <c r="A84" s="298"/>
      <c r="B84" s="298"/>
      <c r="C84" s="298"/>
      <c r="D84" s="298"/>
      <c r="E84" s="298"/>
      <c r="F84" s="298"/>
      <c r="G84" s="298"/>
      <c r="H84" s="298"/>
      <c r="I84" s="298"/>
      <c r="J84" s="298"/>
      <c r="K84" s="298"/>
      <c r="L84" s="298"/>
      <c r="M84" s="298"/>
      <c r="N84" s="298"/>
      <c r="O84" s="298"/>
      <c r="P84" s="298"/>
      <c r="Q84" s="298"/>
      <c r="R84" s="298"/>
      <c r="S84" s="298"/>
      <c r="T84" s="298"/>
      <c r="U84" s="298"/>
      <c r="V84" s="298"/>
      <c r="W84" s="298"/>
      <c r="X84" s="298"/>
      <c r="Y84" s="298"/>
      <c r="Z84" s="298"/>
    </row>
    <row r="85" ht="15.75" customHeight="1">
      <c r="A85" s="298"/>
      <c r="B85" s="298"/>
      <c r="C85" s="298"/>
      <c r="D85" s="298"/>
      <c r="E85" s="298"/>
      <c r="F85" s="298"/>
      <c r="G85" s="298"/>
      <c r="H85" s="298"/>
      <c r="I85" s="298"/>
      <c r="J85" s="298"/>
      <c r="K85" s="298"/>
      <c r="L85" s="298"/>
      <c r="M85" s="298"/>
      <c r="N85" s="298"/>
      <c r="O85" s="298"/>
      <c r="P85" s="298"/>
      <c r="Q85" s="298"/>
      <c r="R85" s="298"/>
      <c r="S85" s="298"/>
      <c r="T85" s="298"/>
      <c r="U85" s="298"/>
      <c r="V85" s="298"/>
      <c r="W85" s="298"/>
      <c r="X85" s="298"/>
      <c r="Y85" s="298"/>
      <c r="Z85" s="298"/>
    </row>
    <row r="86" ht="15.75" customHeight="1">
      <c r="A86" s="298"/>
      <c r="B86" s="298"/>
      <c r="C86" s="298"/>
      <c r="D86" s="298"/>
      <c r="E86" s="298"/>
      <c r="F86" s="298"/>
      <c r="G86" s="298"/>
      <c r="H86" s="298"/>
      <c r="I86" s="298"/>
      <c r="J86" s="298"/>
      <c r="K86" s="298"/>
      <c r="L86" s="298"/>
      <c r="M86" s="298"/>
      <c r="N86" s="298"/>
      <c r="O86" s="298"/>
      <c r="P86" s="298"/>
      <c r="Q86" s="298"/>
      <c r="R86" s="298"/>
      <c r="S86" s="298"/>
      <c r="T86" s="298"/>
      <c r="U86" s="298"/>
      <c r="V86" s="298"/>
      <c r="W86" s="298"/>
      <c r="X86" s="298"/>
      <c r="Y86" s="298"/>
      <c r="Z86" s="298"/>
    </row>
    <row r="87" ht="15.75" customHeight="1">
      <c r="A87" s="298"/>
      <c r="B87" s="298"/>
      <c r="C87" s="298"/>
      <c r="D87" s="298"/>
      <c r="E87" s="298"/>
      <c r="F87" s="298"/>
      <c r="G87" s="298"/>
      <c r="H87" s="298"/>
      <c r="I87" s="298"/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</row>
    <row r="88" ht="15.75" customHeight="1">
      <c r="A88" s="298"/>
      <c r="B88" s="298"/>
      <c r="C88" s="298"/>
      <c r="D88" s="298"/>
      <c r="E88" s="298"/>
      <c r="F88" s="298"/>
      <c r="G88" s="298"/>
      <c r="H88" s="298"/>
      <c r="I88" s="298"/>
      <c r="J88" s="298"/>
      <c r="K88" s="298"/>
      <c r="L88" s="298"/>
      <c r="M88" s="298"/>
      <c r="N88" s="298"/>
      <c r="O88" s="298"/>
      <c r="P88" s="298"/>
      <c r="Q88" s="298"/>
      <c r="R88" s="298"/>
      <c r="S88" s="298"/>
      <c r="T88" s="298"/>
      <c r="U88" s="298"/>
      <c r="V88" s="298"/>
      <c r="W88" s="298"/>
      <c r="X88" s="298"/>
      <c r="Y88" s="298"/>
      <c r="Z88" s="298"/>
    </row>
    <row r="89" ht="15.75" customHeight="1">
      <c r="A89" s="298"/>
      <c r="B89" s="298"/>
      <c r="C89" s="298"/>
      <c r="D89" s="298"/>
      <c r="E89" s="298"/>
      <c r="F89" s="298"/>
      <c r="G89" s="298"/>
      <c r="H89" s="298"/>
      <c r="I89" s="298"/>
      <c r="J89" s="298"/>
      <c r="K89" s="298"/>
      <c r="L89" s="298"/>
      <c r="M89" s="298"/>
      <c r="N89" s="298"/>
      <c r="O89" s="298"/>
      <c r="P89" s="298"/>
      <c r="Q89" s="298"/>
      <c r="R89" s="298"/>
      <c r="S89" s="298"/>
      <c r="T89" s="298"/>
      <c r="U89" s="298"/>
      <c r="V89" s="298"/>
      <c r="W89" s="298"/>
      <c r="X89" s="298"/>
      <c r="Y89" s="298"/>
      <c r="Z89" s="298"/>
    </row>
    <row r="90" ht="15.75" customHeight="1">
      <c r="A90" s="298"/>
      <c r="B90" s="298"/>
      <c r="C90" s="298"/>
      <c r="D90" s="298"/>
      <c r="E90" s="298"/>
      <c r="F90" s="298"/>
      <c r="G90" s="298"/>
      <c r="H90" s="298"/>
      <c r="I90" s="298"/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</row>
    <row r="91" ht="15.75" customHeight="1">
      <c r="A91" s="298"/>
      <c r="B91" s="298"/>
      <c r="C91" s="298"/>
      <c r="D91" s="298"/>
      <c r="E91" s="298"/>
      <c r="F91" s="298"/>
      <c r="G91" s="298"/>
      <c r="H91" s="298"/>
      <c r="I91" s="298"/>
      <c r="J91" s="298"/>
      <c r="K91" s="298"/>
      <c r="L91" s="298"/>
      <c r="M91" s="298"/>
      <c r="N91" s="298"/>
      <c r="O91" s="298"/>
      <c r="P91" s="298"/>
      <c r="Q91" s="298"/>
      <c r="R91" s="298"/>
      <c r="S91" s="298"/>
      <c r="T91" s="298"/>
      <c r="U91" s="298"/>
      <c r="V91" s="298"/>
      <c r="W91" s="298"/>
      <c r="X91" s="298"/>
      <c r="Y91" s="298"/>
      <c r="Z91" s="298"/>
    </row>
    <row r="92" ht="15.75" customHeight="1">
      <c r="A92" s="298"/>
      <c r="B92" s="298"/>
      <c r="C92" s="298"/>
      <c r="D92" s="298"/>
      <c r="E92" s="298"/>
      <c r="F92" s="298"/>
      <c r="G92" s="298"/>
      <c r="H92" s="298"/>
      <c r="I92" s="298"/>
      <c r="J92" s="298"/>
      <c r="K92" s="298"/>
      <c r="L92" s="298"/>
      <c r="M92" s="298"/>
      <c r="N92" s="298"/>
      <c r="O92" s="298"/>
      <c r="P92" s="298"/>
      <c r="Q92" s="298"/>
      <c r="R92" s="298"/>
      <c r="S92" s="298"/>
      <c r="T92" s="298"/>
      <c r="U92" s="298"/>
      <c r="V92" s="298"/>
      <c r="W92" s="298"/>
      <c r="X92" s="298"/>
      <c r="Y92" s="298"/>
      <c r="Z92" s="298"/>
    </row>
    <row r="93" ht="15.75" customHeight="1">
      <c r="A93" s="298"/>
      <c r="B93" s="298"/>
      <c r="C93" s="298"/>
      <c r="D93" s="298"/>
      <c r="E93" s="298"/>
      <c r="F93" s="298"/>
      <c r="G93" s="298"/>
      <c r="H93" s="298"/>
      <c r="I93" s="298"/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</row>
    <row r="94" ht="15.75" customHeight="1">
      <c r="A94" s="298"/>
      <c r="B94" s="298"/>
      <c r="C94" s="298"/>
      <c r="D94" s="298"/>
      <c r="E94" s="298"/>
      <c r="F94" s="298"/>
      <c r="G94" s="298"/>
      <c r="H94" s="298"/>
      <c r="I94" s="298"/>
      <c r="J94" s="298"/>
      <c r="K94" s="298"/>
      <c r="L94" s="298"/>
      <c r="M94" s="298"/>
      <c r="N94" s="298"/>
      <c r="O94" s="298"/>
      <c r="P94" s="298"/>
      <c r="Q94" s="298"/>
      <c r="R94" s="298"/>
      <c r="S94" s="298"/>
      <c r="T94" s="298"/>
      <c r="U94" s="298"/>
      <c r="V94" s="298"/>
      <c r="W94" s="298"/>
      <c r="X94" s="298"/>
      <c r="Y94" s="298"/>
      <c r="Z94" s="298"/>
    </row>
    <row r="95" ht="15.75" customHeight="1">
      <c r="A95" s="298"/>
      <c r="B95" s="298"/>
      <c r="C95" s="298"/>
      <c r="D95" s="298"/>
      <c r="E95" s="298"/>
      <c r="F95" s="298"/>
      <c r="G95" s="298"/>
      <c r="H95" s="298"/>
      <c r="I95" s="298"/>
      <c r="J95" s="298"/>
      <c r="K95" s="298"/>
      <c r="L95" s="298"/>
      <c r="M95" s="298"/>
      <c r="N95" s="298"/>
      <c r="O95" s="298"/>
      <c r="P95" s="298"/>
      <c r="Q95" s="298"/>
      <c r="R95" s="298"/>
      <c r="S95" s="298"/>
      <c r="T95" s="298"/>
      <c r="U95" s="298"/>
      <c r="V95" s="298"/>
      <c r="W95" s="298"/>
      <c r="X95" s="298"/>
      <c r="Y95" s="298"/>
      <c r="Z95" s="298"/>
    </row>
    <row r="96" ht="15.75" customHeight="1">
      <c r="A96" s="298"/>
      <c r="B96" s="298"/>
      <c r="C96" s="298"/>
      <c r="D96" s="298"/>
      <c r="E96" s="298"/>
      <c r="F96" s="298"/>
      <c r="G96" s="298"/>
      <c r="H96" s="298"/>
      <c r="I96" s="298"/>
      <c r="J96" s="298"/>
      <c r="K96" s="298"/>
      <c r="L96" s="298"/>
      <c r="M96" s="298"/>
      <c r="N96" s="298"/>
      <c r="O96" s="298"/>
      <c r="P96" s="298"/>
      <c r="Q96" s="298"/>
      <c r="R96" s="298"/>
      <c r="S96" s="298"/>
      <c r="T96" s="298"/>
      <c r="U96" s="298"/>
      <c r="V96" s="298"/>
      <c r="W96" s="298"/>
      <c r="X96" s="298"/>
      <c r="Y96" s="298"/>
      <c r="Z96" s="298"/>
    </row>
    <row r="97" ht="15.75" customHeight="1">
      <c r="A97" s="298"/>
      <c r="B97" s="298"/>
      <c r="C97" s="298"/>
      <c r="D97" s="298"/>
      <c r="E97" s="298"/>
      <c r="F97" s="298"/>
      <c r="G97" s="298"/>
      <c r="H97" s="298"/>
      <c r="I97" s="298"/>
      <c r="J97" s="298"/>
      <c r="K97" s="298"/>
      <c r="L97" s="298"/>
      <c r="M97" s="298"/>
      <c r="N97" s="298"/>
      <c r="O97" s="298"/>
      <c r="P97" s="298"/>
      <c r="Q97" s="298"/>
      <c r="R97" s="298"/>
      <c r="S97" s="298"/>
      <c r="T97" s="298"/>
      <c r="U97" s="298"/>
      <c r="V97" s="298"/>
      <c r="W97" s="298"/>
      <c r="X97" s="298"/>
      <c r="Y97" s="298"/>
      <c r="Z97" s="298"/>
    </row>
    <row r="98" ht="15.75" customHeight="1">
      <c r="A98" s="298"/>
      <c r="B98" s="298"/>
      <c r="C98" s="298"/>
      <c r="D98" s="298"/>
      <c r="E98" s="298"/>
      <c r="F98" s="298"/>
      <c r="G98" s="298"/>
      <c r="H98" s="298"/>
      <c r="I98" s="298"/>
      <c r="J98" s="298"/>
      <c r="K98" s="298"/>
      <c r="L98" s="298"/>
      <c r="M98" s="298"/>
      <c r="N98" s="298"/>
      <c r="O98" s="298"/>
      <c r="P98" s="298"/>
      <c r="Q98" s="298"/>
      <c r="R98" s="298"/>
      <c r="S98" s="298"/>
      <c r="T98" s="298"/>
      <c r="U98" s="298"/>
      <c r="V98" s="298"/>
      <c r="W98" s="298"/>
      <c r="X98" s="298"/>
      <c r="Y98" s="298"/>
      <c r="Z98" s="298"/>
    </row>
    <row r="99" ht="15.75" customHeight="1">
      <c r="A99" s="298"/>
      <c r="B99" s="298"/>
      <c r="C99" s="298"/>
      <c r="D99" s="298"/>
      <c r="E99" s="298"/>
      <c r="F99" s="298"/>
      <c r="G99" s="298"/>
      <c r="H99" s="298"/>
      <c r="I99" s="298"/>
      <c r="J99" s="298"/>
      <c r="K99" s="298"/>
      <c r="L99" s="298"/>
      <c r="M99" s="298"/>
      <c r="N99" s="298"/>
      <c r="O99" s="298"/>
      <c r="P99" s="298"/>
      <c r="Q99" s="298"/>
      <c r="R99" s="298"/>
      <c r="S99" s="298"/>
      <c r="T99" s="298"/>
      <c r="U99" s="298"/>
      <c r="V99" s="298"/>
      <c r="W99" s="298"/>
      <c r="X99" s="298"/>
      <c r="Y99" s="298"/>
      <c r="Z99" s="298"/>
    </row>
    <row r="100" ht="15.75" customHeight="1">
      <c r="A100" s="298"/>
      <c r="B100" s="298"/>
      <c r="C100" s="298"/>
      <c r="D100" s="298"/>
      <c r="E100" s="298"/>
      <c r="F100" s="298"/>
      <c r="G100" s="298"/>
      <c r="H100" s="298"/>
      <c r="I100" s="298"/>
      <c r="J100" s="298"/>
      <c r="K100" s="298"/>
      <c r="L100" s="298"/>
      <c r="M100" s="298"/>
      <c r="N100" s="298"/>
      <c r="O100" s="298"/>
      <c r="P100" s="298"/>
      <c r="Q100" s="298"/>
      <c r="R100" s="298"/>
      <c r="S100" s="298"/>
      <c r="T100" s="298"/>
      <c r="U100" s="298"/>
      <c r="V100" s="298"/>
      <c r="W100" s="298"/>
      <c r="X100" s="298"/>
      <c r="Y100" s="298"/>
      <c r="Z100" s="298"/>
    </row>
    <row r="101" ht="15.75" customHeight="1">
      <c r="A101" s="298"/>
      <c r="B101" s="298"/>
      <c r="C101" s="298"/>
      <c r="D101" s="298"/>
      <c r="E101" s="298"/>
      <c r="F101" s="298"/>
      <c r="G101" s="298"/>
      <c r="H101" s="298"/>
      <c r="I101" s="298"/>
      <c r="J101" s="298"/>
      <c r="K101" s="298"/>
      <c r="L101" s="298"/>
      <c r="M101" s="298"/>
      <c r="N101" s="298"/>
      <c r="O101" s="298"/>
      <c r="P101" s="298"/>
      <c r="Q101" s="298"/>
      <c r="R101" s="298"/>
      <c r="S101" s="298"/>
      <c r="T101" s="298"/>
      <c r="U101" s="298"/>
      <c r="V101" s="298"/>
      <c r="W101" s="298"/>
      <c r="X101" s="298"/>
      <c r="Y101" s="298"/>
      <c r="Z101" s="298"/>
    </row>
    <row r="102" ht="15.75" customHeight="1">
      <c r="A102" s="298"/>
      <c r="B102" s="298"/>
      <c r="C102" s="298"/>
      <c r="D102" s="298"/>
      <c r="E102" s="298"/>
      <c r="F102" s="298"/>
      <c r="G102" s="298"/>
      <c r="H102" s="298"/>
      <c r="I102" s="298"/>
      <c r="J102" s="298"/>
      <c r="K102" s="298"/>
      <c r="L102" s="298"/>
      <c r="M102" s="298"/>
      <c r="N102" s="298"/>
      <c r="O102" s="298"/>
      <c r="P102" s="298"/>
      <c r="Q102" s="298"/>
      <c r="R102" s="298"/>
      <c r="S102" s="298"/>
      <c r="T102" s="298"/>
      <c r="U102" s="298"/>
      <c r="V102" s="298"/>
      <c r="W102" s="298"/>
      <c r="X102" s="298"/>
      <c r="Y102" s="298"/>
      <c r="Z102" s="298"/>
    </row>
    <row r="103" ht="15.75" customHeight="1">
      <c r="A103" s="298"/>
      <c r="B103" s="298"/>
      <c r="C103" s="298"/>
      <c r="D103" s="298"/>
      <c r="E103" s="298"/>
      <c r="F103" s="298"/>
      <c r="G103" s="298"/>
      <c r="H103" s="298"/>
      <c r="I103" s="298"/>
      <c r="J103" s="298"/>
      <c r="K103" s="298"/>
      <c r="L103" s="298"/>
      <c r="M103" s="298"/>
      <c r="N103" s="298"/>
      <c r="O103" s="298"/>
      <c r="P103" s="298"/>
      <c r="Q103" s="298"/>
      <c r="R103" s="298"/>
      <c r="S103" s="298"/>
      <c r="T103" s="298"/>
      <c r="U103" s="298"/>
      <c r="V103" s="298"/>
      <c r="W103" s="298"/>
      <c r="X103" s="298"/>
      <c r="Y103" s="298"/>
      <c r="Z103" s="298"/>
    </row>
    <row r="104" ht="15.75" customHeight="1">
      <c r="A104" s="298"/>
      <c r="B104" s="298"/>
      <c r="C104" s="298"/>
      <c r="D104" s="298"/>
      <c r="E104" s="298"/>
      <c r="F104" s="298"/>
      <c r="G104" s="298"/>
      <c r="H104" s="298"/>
      <c r="I104" s="298"/>
      <c r="J104" s="298"/>
      <c r="K104" s="298"/>
      <c r="L104" s="298"/>
      <c r="M104" s="298"/>
      <c r="N104" s="298"/>
      <c r="O104" s="298"/>
      <c r="P104" s="298"/>
      <c r="Q104" s="298"/>
      <c r="R104" s="298"/>
      <c r="S104" s="298"/>
      <c r="T104" s="298"/>
      <c r="U104" s="298"/>
      <c r="V104" s="298"/>
      <c r="W104" s="298"/>
      <c r="X104" s="298"/>
      <c r="Y104" s="298"/>
      <c r="Z104" s="298"/>
    </row>
    <row r="105" ht="15.75" customHeight="1">
      <c r="A105" s="298"/>
      <c r="B105" s="298"/>
      <c r="C105" s="298"/>
      <c r="D105" s="298"/>
      <c r="E105" s="298"/>
      <c r="F105" s="298"/>
      <c r="G105" s="298"/>
      <c r="H105" s="298"/>
      <c r="I105" s="298"/>
      <c r="J105" s="298"/>
      <c r="K105" s="298"/>
      <c r="L105" s="298"/>
      <c r="M105" s="298"/>
      <c r="N105" s="298"/>
      <c r="O105" s="298"/>
      <c r="P105" s="298"/>
      <c r="Q105" s="298"/>
      <c r="R105" s="298"/>
      <c r="S105" s="298"/>
      <c r="T105" s="298"/>
      <c r="U105" s="298"/>
      <c r="V105" s="298"/>
      <c r="W105" s="298"/>
      <c r="X105" s="298"/>
      <c r="Y105" s="298"/>
      <c r="Z105" s="298"/>
    </row>
    <row r="106" ht="15.75" customHeight="1">
      <c r="A106" s="298"/>
      <c r="B106" s="298"/>
      <c r="C106" s="298"/>
      <c r="D106" s="298"/>
      <c r="E106" s="298"/>
      <c r="F106" s="298"/>
      <c r="G106" s="298"/>
      <c r="H106" s="298"/>
      <c r="I106" s="298"/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</row>
    <row r="107" ht="15.75" customHeight="1">
      <c r="A107" s="298"/>
      <c r="B107" s="298"/>
      <c r="C107" s="298"/>
      <c r="D107" s="298"/>
      <c r="E107" s="298"/>
      <c r="F107" s="298"/>
      <c r="G107" s="298"/>
      <c r="H107" s="298"/>
      <c r="I107" s="298"/>
      <c r="J107" s="298"/>
      <c r="K107" s="298"/>
      <c r="L107" s="298"/>
      <c r="M107" s="298"/>
      <c r="N107" s="298"/>
      <c r="O107" s="298"/>
      <c r="P107" s="298"/>
      <c r="Q107" s="298"/>
      <c r="R107" s="298"/>
      <c r="S107" s="298"/>
      <c r="T107" s="298"/>
      <c r="U107" s="298"/>
      <c r="V107" s="298"/>
      <c r="W107" s="298"/>
      <c r="X107" s="298"/>
      <c r="Y107" s="298"/>
      <c r="Z107" s="298"/>
    </row>
    <row r="108" ht="15.75" customHeight="1">
      <c r="A108" s="298"/>
      <c r="B108" s="298"/>
      <c r="C108" s="298"/>
      <c r="D108" s="298"/>
      <c r="E108" s="298"/>
      <c r="F108" s="298"/>
      <c r="G108" s="298"/>
      <c r="H108" s="298"/>
      <c r="I108" s="298"/>
      <c r="J108" s="298"/>
      <c r="K108" s="298"/>
      <c r="L108" s="298"/>
      <c r="M108" s="298"/>
      <c r="N108" s="298"/>
      <c r="O108" s="298"/>
      <c r="P108" s="298"/>
      <c r="Q108" s="298"/>
      <c r="R108" s="298"/>
      <c r="S108" s="298"/>
      <c r="T108" s="298"/>
      <c r="U108" s="298"/>
      <c r="V108" s="298"/>
      <c r="W108" s="298"/>
      <c r="X108" s="298"/>
      <c r="Y108" s="298"/>
      <c r="Z108" s="298"/>
    </row>
    <row r="109" ht="15.75" customHeight="1">
      <c r="A109" s="298"/>
      <c r="B109" s="298"/>
      <c r="C109" s="298"/>
      <c r="D109" s="298"/>
      <c r="E109" s="298"/>
      <c r="F109" s="298"/>
      <c r="G109" s="298"/>
      <c r="H109" s="298"/>
      <c r="I109" s="298"/>
      <c r="J109" s="298"/>
      <c r="K109" s="298"/>
      <c r="L109" s="298"/>
      <c r="M109" s="298"/>
      <c r="N109" s="298"/>
      <c r="O109" s="298"/>
      <c r="P109" s="298"/>
      <c r="Q109" s="298"/>
      <c r="R109" s="298"/>
      <c r="S109" s="298"/>
      <c r="T109" s="298"/>
      <c r="U109" s="298"/>
      <c r="V109" s="298"/>
      <c r="W109" s="298"/>
      <c r="X109" s="298"/>
      <c r="Y109" s="298"/>
      <c r="Z109" s="298"/>
    </row>
    <row r="110" ht="15.75" customHeight="1">
      <c r="A110" s="298"/>
      <c r="B110" s="298"/>
      <c r="C110" s="298"/>
      <c r="D110" s="298"/>
      <c r="E110" s="298"/>
      <c r="F110" s="298"/>
      <c r="G110" s="298"/>
      <c r="H110" s="298"/>
      <c r="I110" s="298"/>
      <c r="J110" s="298"/>
      <c r="K110" s="298"/>
      <c r="L110" s="298"/>
      <c r="M110" s="298"/>
      <c r="N110" s="298"/>
      <c r="O110" s="298"/>
      <c r="P110" s="298"/>
      <c r="Q110" s="298"/>
      <c r="R110" s="298"/>
      <c r="S110" s="298"/>
      <c r="T110" s="298"/>
      <c r="U110" s="298"/>
      <c r="V110" s="298"/>
      <c r="W110" s="298"/>
      <c r="X110" s="298"/>
      <c r="Y110" s="298"/>
      <c r="Z110" s="298"/>
    </row>
    <row r="111" ht="15.75" customHeight="1">
      <c r="A111" s="298"/>
      <c r="B111" s="298"/>
      <c r="C111" s="298"/>
      <c r="D111" s="298"/>
      <c r="E111" s="298"/>
      <c r="F111" s="298"/>
      <c r="G111" s="298"/>
      <c r="H111" s="298"/>
      <c r="I111" s="298"/>
      <c r="J111" s="298"/>
      <c r="K111" s="298"/>
      <c r="L111" s="298"/>
      <c r="M111" s="298"/>
      <c r="N111" s="298"/>
      <c r="O111" s="298"/>
      <c r="P111" s="298"/>
      <c r="Q111" s="298"/>
      <c r="R111" s="298"/>
      <c r="S111" s="298"/>
      <c r="T111" s="298"/>
      <c r="U111" s="298"/>
      <c r="V111" s="298"/>
      <c r="W111" s="298"/>
      <c r="X111" s="298"/>
      <c r="Y111" s="298"/>
      <c r="Z111" s="298"/>
    </row>
    <row r="112" ht="15.75" customHeight="1">
      <c r="A112" s="298"/>
      <c r="B112" s="298"/>
      <c r="C112" s="298"/>
      <c r="D112" s="298"/>
      <c r="E112" s="298"/>
      <c r="F112" s="298"/>
      <c r="G112" s="298"/>
      <c r="H112" s="298"/>
      <c r="I112" s="298"/>
      <c r="J112" s="298"/>
      <c r="K112" s="298"/>
      <c r="L112" s="298"/>
      <c r="M112" s="298"/>
      <c r="N112" s="298"/>
      <c r="O112" s="298"/>
      <c r="P112" s="298"/>
      <c r="Q112" s="298"/>
      <c r="R112" s="298"/>
      <c r="S112" s="298"/>
      <c r="T112" s="298"/>
      <c r="U112" s="298"/>
      <c r="V112" s="298"/>
      <c r="W112" s="298"/>
      <c r="X112" s="298"/>
      <c r="Y112" s="298"/>
      <c r="Z112" s="298"/>
    </row>
    <row r="113" ht="15.75" customHeight="1">
      <c r="A113" s="298"/>
      <c r="B113" s="298"/>
      <c r="C113" s="298"/>
      <c r="D113" s="298"/>
      <c r="E113" s="298"/>
      <c r="F113" s="298"/>
      <c r="G113" s="298"/>
      <c r="H113" s="298"/>
      <c r="I113" s="298"/>
      <c r="J113" s="298"/>
      <c r="K113" s="298"/>
      <c r="L113" s="298"/>
      <c r="M113" s="298"/>
      <c r="N113" s="298"/>
      <c r="O113" s="298"/>
      <c r="P113" s="298"/>
      <c r="Q113" s="298"/>
      <c r="R113" s="298"/>
      <c r="S113" s="298"/>
      <c r="T113" s="298"/>
      <c r="U113" s="298"/>
      <c r="V113" s="298"/>
      <c r="W113" s="298"/>
      <c r="X113" s="298"/>
      <c r="Y113" s="298"/>
      <c r="Z113" s="298"/>
    </row>
    <row r="114" ht="15.75" customHeight="1">
      <c r="A114" s="298"/>
      <c r="B114" s="298"/>
      <c r="C114" s="298"/>
      <c r="D114" s="298"/>
      <c r="E114" s="298"/>
      <c r="F114" s="298"/>
      <c r="G114" s="298"/>
      <c r="H114" s="298"/>
      <c r="I114" s="298"/>
      <c r="J114" s="298"/>
      <c r="K114" s="298"/>
      <c r="L114" s="298"/>
      <c r="M114" s="298"/>
      <c r="N114" s="298"/>
      <c r="O114" s="298"/>
      <c r="P114" s="298"/>
      <c r="Q114" s="298"/>
      <c r="R114" s="298"/>
      <c r="S114" s="298"/>
      <c r="T114" s="298"/>
      <c r="U114" s="298"/>
      <c r="V114" s="298"/>
      <c r="W114" s="298"/>
      <c r="X114" s="298"/>
      <c r="Y114" s="298"/>
      <c r="Z114" s="298"/>
    </row>
    <row r="115" ht="15.75" customHeight="1">
      <c r="A115" s="298"/>
      <c r="B115" s="298"/>
      <c r="C115" s="298"/>
      <c r="D115" s="298"/>
      <c r="E115" s="298"/>
      <c r="F115" s="298"/>
      <c r="G115" s="298"/>
      <c r="H115" s="298"/>
      <c r="I115" s="298"/>
      <c r="J115" s="298"/>
      <c r="K115" s="298"/>
      <c r="L115" s="298"/>
      <c r="M115" s="298"/>
      <c r="N115" s="298"/>
      <c r="O115" s="298"/>
      <c r="P115" s="298"/>
      <c r="Q115" s="298"/>
      <c r="R115" s="298"/>
      <c r="S115" s="298"/>
      <c r="T115" s="298"/>
      <c r="U115" s="298"/>
      <c r="V115" s="298"/>
      <c r="W115" s="298"/>
      <c r="X115" s="298"/>
      <c r="Y115" s="298"/>
      <c r="Z115" s="298"/>
    </row>
    <row r="116" ht="15.75" customHeight="1">
      <c r="A116" s="298"/>
      <c r="B116" s="298"/>
      <c r="C116" s="298"/>
      <c r="D116" s="298"/>
      <c r="E116" s="298"/>
      <c r="F116" s="298"/>
      <c r="G116" s="298"/>
      <c r="H116" s="298"/>
      <c r="I116" s="298"/>
      <c r="J116" s="298"/>
      <c r="K116" s="298"/>
      <c r="L116" s="298"/>
      <c r="M116" s="298"/>
      <c r="N116" s="298"/>
      <c r="O116" s="298"/>
      <c r="P116" s="298"/>
      <c r="Q116" s="298"/>
      <c r="R116" s="298"/>
      <c r="S116" s="298"/>
      <c r="T116" s="298"/>
      <c r="U116" s="298"/>
      <c r="V116" s="298"/>
      <c r="W116" s="298"/>
      <c r="X116" s="298"/>
      <c r="Y116" s="298"/>
      <c r="Z116" s="298"/>
    </row>
    <row r="117" ht="15.75" customHeight="1">
      <c r="A117" s="298"/>
      <c r="B117" s="298"/>
      <c r="C117" s="298"/>
      <c r="D117" s="298"/>
      <c r="E117" s="298"/>
      <c r="F117" s="298"/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/>
      <c r="V117" s="298"/>
      <c r="W117" s="298"/>
      <c r="X117" s="298"/>
      <c r="Y117" s="298"/>
      <c r="Z117" s="298"/>
    </row>
    <row r="118" ht="15.75" customHeight="1">
      <c r="A118" s="298"/>
      <c r="B118" s="298"/>
      <c r="C118" s="298"/>
      <c r="D118" s="298"/>
      <c r="E118" s="298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298"/>
      <c r="W118" s="298"/>
      <c r="X118" s="298"/>
      <c r="Y118" s="298"/>
      <c r="Z118" s="298"/>
    </row>
    <row r="119" ht="15.75" customHeight="1">
      <c r="A119" s="298"/>
      <c r="B119" s="298"/>
      <c r="C119" s="298"/>
      <c r="D119" s="298"/>
      <c r="E119" s="298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298"/>
      <c r="W119" s="298"/>
      <c r="X119" s="298"/>
      <c r="Y119" s="298"/>
      <c r="Z119" s="298"/>
    </row>
    <row r="120" ht="15.75" customHeight="1">
      <c r="A120" s="298"/>
      <c r="B120" s="298"/>
      <c r="C120" s="298"/>
      <c r="D120" s="298"/>
      <c r="E120" s="298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298"/>
      <c r="W120" s="298"/>
      <c r="X120" s="298"/>
      <c r="Y120" s="298"/>
      <c r="Z120" s="298"/>
    </row>
    <row r="121" ht="15.75" customHeight="1">
      <c r="A121" s="298"/>
      <c r="B121" s="298"/>
      <c r="C121" s="298"/>
      <c r="D121" s="298"/>
      <c r="E121" s="298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298"/>
      <c r="W121" s="298"/>
      <c r="X121" s="298"/>
      <c r="Y121" s="298"/>
      <c r="Z121" s="298"/>
    </row>
    <row r="122" ht="15.75" customHeight="1">
      <c r="A122" s="298"/>
      <c r="B122" s="298"/>
      <c r="C122" s="298"/>
      <c r="D122" s="298"/>
      <c r="E122" s="298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298"/>
      <c r="W122" s="298"/>
      <c r="X122" s="298"/>
      <c r="Y122" s="298"/>
      <c r="Z122" s="298"/>
    </row>
    <row r="123" ht="15.75" customHeight="1">
      <c r="A123" s="298"/>
      <c r="B123" s="298"/>
      <c r="C123" s="298"/>
      <c r="D123" s="298"/>
      <c r="E123" s="298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298"/>
      <c r="W123" s="298"/>
      <c r="X123" s="298"/>
      <c r="Y123" s="298"/>
      <c r="Z123" s="298"/>
    </row>
    <row r="124" ht="15.75" customHeight="1">
      <c r="A124" s="298"/>
      <c r="B124" s="298"/>
      <c r="C124" s="298"/>
      <c r="D124" s="298"/>
      <c r="E124" s="298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298"/>
      <c r="W124" s="298"/>
      <c r="X124" s="298"/>
      <c r="Y124" s="298"/>
      <c r="Z124" s="298"/>
    </row>
    <row r="125" ht="15.75" customHeight="1">
      <c r="A125" s="298"/>
      <c r="B125" s="298"/>
      <c r="C125" s="298"/>
      <c r="D125" s="298"/>
      <c r="E125" s="298"/>
      <c r="F125" s="298"/>
      <c r="G125" s="298"/>
      <c r="H125" s="298"/>
      <c r="I125" s="298"/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</row>
    <row r="126" ht="15.75" customHeight="1">
      <c r="A126" s="298"/>
      <c r="B126" s="298"/>
      <c r="C126" s="298"/>
      <c r="D126" s="298"/>
      <c r="E126" s="298"/>
      <c r="F126" s="298"/>
      <c r="G126" s="298"/>
      <c r="H126" s="298"/>
      <c r="I126" s="298"/>
      <c r="J126" s="298"/>
      <c r="K126" s="298"/>
      <c r="L126" s="298"/>
      <c r="M126" s="298"/>
      <c r="N126" s="298"/>
      <c r="O126" s="298"/>
      <c r="P126" s="298"/>
      <c r="Q126" s="298"/>
      <c r="R126" s="298"/>
      <c r="S126" s="298"/>
      <c r="T126" s="298"/>
      <c r="U126" s="298"/>
      <c r="V126" s="298"/>
      <c r="W126" s="298"/>
      <c r="X126" s="298"/>
      <c r="Y126" s="298"/>
      <c r="Z126" s="298"/>
    </row>
    <row r="127" ht="15.75" customHeight="1">
      <c r="A127" s="298"/>
      <c r="B127" s="298"/>
      <c r="C127" s="298"/>
      <c r="D127" s="298"/>
      <c r="E127" s="298"/>
      <c r="F127" s="298"/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/>
      <c r="V127" s="298"/>
      <c r="W127" s="298"/>
      <c r="X127" s="298"/>
      <c r="Y127" s="298"/>
      <c r="Z127" s="298"/>
    </row>
    <row r="128" ht="15.75" customHeight="1">
      <c r="A128" s="298"/>
      <c r="B128" s="298"/>
      <c r="C128" s="298"/>
      <c r="D128" s="298"/>
      <c r="E128" s="298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298"/>
      <c r="W128" s="298"/>
      <c r="X128" s="298"/>
      <c r="Y128" s="298"/>
      <c r="Z128" s="298"/>
    </row>
    <row r="129" ht="15.75" customHeight="1">
      <c r="A129" s="298"/>
      <c r="B129" s="298"/>
      <c r="C129" s="298"/>
      <c r="D129" s="298"/>
      <c r="E129" s="298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298"/>
      <c r="W129" s="298"/>
      <c r="X129" s="298"/>
      <c r="Y129" s="298"/>
      <c r="Z129" s="298"/>
    </row>
    <row r="130" ht="15.75" customHeight="1">
      <c r="A130" s="298"/>
      <c r="B130" s="298"/>
      <c r="C130" s="298"/>
      <c r="D130" s="298"/>
      <c r="E130" s="298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298"/>
      <c r="W130" s="298"/>
      <c r="X130" s="298"/>
      <c r="Y130" s="298"/>
      <c r="Z130" s="298"/>
    </row>
    <row r="131" ht="15.75" customHeight="1">
      <c r="A131" s="298"/>
      <c r="B131" s="298"/>
      <c r="C131" s="298"/>
      <c r="D131" s="298"/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</row>
    <row r="132" ht="15.75" customHeight="1">
      <c r="A132" s="298"/>
      <c r="B132" s="298"/>
      <c r="C132" s="298"/>
      <c r="D132" s="298"/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</row>
    <row r="133" ht="15.75" customHeight="1">
      <c r="A133" s="298"/>
      <c r="B133" s="298"/>
      <c r="C133" s="298"/>
      <c r="D133" s="298"/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</row>
    <row r="134" ht="15.75" customHeight="1">
      <c r="A134" s="298"/>
      <c r="B134" s="298"/>
      <c r="C134" s="298"/>
      <c r="D134" s="298"/>
      <c r="E134" s="298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298"/>
      <c r="W134" s="298"/>
      <c r="X134" s="298"/>
      <c r="Y134" s="298"/>
      <c r="Z134" s="298"/>
    </row>
    <row r="135" ht="15.75" customHeight="1">
      <c r="A135" s="298"/>
      <c r="B135" s="298"/>
      <c r="C135" s="298"/>
      <c r="D135" s="298"/>
      <c r="E135" s="298"/>
      <c r="F135" s="298"/>
      <c r="G135" s="298"/>
      <c r="H135" s="298"/>
      <c r="I135" s="298"/>
      <c r="J135" s="298"/>
      <c r="K135" s="298"/>
      <c r="L135" s="298"/>
      <c r="M135" s="298"/>
      <c r="N135" s="298"/>
      <c r="O135" s="298"/>
      <c r="P135" s="298"/>
      <c r="Q135" s="298"/>
      <c r="R135" s="298"/>
      <c r="S135" s="298"/>
      <c r="T135" s="298"/>
      <c r="U135" s="298"/>
      <c r="V135" s="298"/>
      <c r="W135" s="298"/>
      <c r="X135" s="298"/>
      <c r="Y135" s="298"/>
      <c r="Z135" s="298"/>
    </row>
    <row r="136" ht="15.75" customHeight="1">
      <c r="A136" s="298"/>
      <c r="B136" s="298"/>
      <c r="C136" s="298"/>
      <c r="D136" s="298"/>
      <c r="E136" s="298"/>
      <c r="F136" s="298"/>
      <c r="G136" s="298"/>
      <c r="H136" s="298"/>
      <c r="I136" s="298"/>
      <c r="J136" s="298"/>
      <c r="K136" s="298"/>
      <c r="L136" s="298"/>
      <c r="M136" s="298"/>
      <c r="N136" s="298"/>
      <c r="O136" s="298"/>
      <c r="P136" s="298"/>
      <c r="Q136" s="298"/>
      <c r="R136" s="298"/>
      <c r="S136" s="298"/>
      <c r="T136" s="298"/>
      <c r="U136" s="298"/>
      <c r="V136" s="298"/>
      <c r="W136" s="298"/>
      <c r="X136" s="298"/>
      <c r="Y136" s="298"/>
      <c r="Z136" s="298"/>
    </row>
    <row r="137" ht="15.75" customHeight="1">
      <c r="A137" s="298"/>
      <c r="B137" s="298"/>
      <c r="C137" s="298"/>
      <c r="D137" s="298"/>
      <c r="E137" s="298"/>
      <c r="F137" s="298"/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/>
      <c r="V137" s="298"/>
      <c r="W137" s="298"/>
      <c r="X137" s="298"/>
      <c r="Y137" s="298"/>
      <c r="Z137" s="298"/>
    </row>
    <row r="138" ht="15.75" customHeight="1">
      <c r="A138" s="298"/>
      <c r="B138" s="298"/>
      <c r="C138" s="298"/>
      <c r="D138" s="298"/>
      <c r="E138" s="298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298"/>
      <c r="W138" s="298"/>
      <c r="X138" s="298"/>
      <c r="Y138" s="298"/>
      <c r="Z138" s="298"/>
    </row>
    <row r="139" ht="15.75" customHeight="1">
      <c r="A139" s="298"/>
      <c r="B139" s="298"/>
      <c r="C139" s="298"/>
      <c r="D139" s="298"/>
      <c r="E139" s="298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298"/>
      <c r="W139" s="298"/>
      <c r="X139" s="298"/>
      <c r="Y139" s="298"/>
      <c r="Z139" s="298"/>
    </row>
    <row r="140" ht="15.75" customHeight="1">
      <c r="A140" s="298"/>
      <c r="B140" s="298"/>
      <c r="C140" s="298"/>
      <c r="D140" s="298"/>
      <c r="E140" s="298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  <c r="V140" s="298"/>
      <c r="W140" s="298"/>
      <c r="X140" s="298"/>
      <c r="Y140" s="298"/>
      <c r="Z140" s="298"/>
    </row>
    <row r="141" ht="15.75" customHeight="1">
      <c r="A141" s="298"/>
      <c r="B141" s="298"/>
      <c r="C141" s="298"/>
      <c r="D141" s="298"/>
      <c r="E141" s="298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  <c r="V141" s="298"/>
      <c r="W141" s="298"/>
      <c r="X141" s="298"/>
      <c r="Y141" s="298"/>
      <c r="Z141" s="298"/>
    </row>
    <row r="142" ht="15.75" customHeight="1">
      <c r="A142" s="298"/>
      <c r="B142" s="298"/>
      <c r="C142" s="298"/>
      <c r="D142" s="298"/>
      <c r="E142" s="298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  <c r="V142" s="298"/>
      <c r="W142" s="298"/>
      <c r="X142" s="298"/>
      <c r="Y142" s="298"/>
      <c r="Z142" s="298"/>
    </row>
    <row r="143" ht="15.75" customHeight="1">
      <c r="A143" s="298"/>
      <c r="B143" s="298"/>
      <c r="C143" s="298"/>
      <c r="D143" s="298"/>
      <c r="E143" s="298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  <c r="V143" s="298"/>
      <c r="W143" s="298"/>
      <c r="X143" s="298"/>
      <c r="Y143" s="298"/>
      <c r="Z143" s="298"/>
    </row>
    <row r="144" ht="15.75" customHeight="1">
      <c r="A144" s="298"/>
      <c r="B144" s="298"/>
      <c r="C144" s="298"/>
      <c r="D144" s="298"/>
      <c r="E144" s="298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  <c r="V144" s="298"/>
      <c r="W144" s="298"/>
      <c r="X144" s="298"/>
      <c r="Y144" s="298"/>
      <c r="Z144" s="298"/>
    </row>
    <row r="145" ht="15.75" customHeight="1">
      <c r="A145" s="298"/>
      <c r="B145" s="298"/>
      <c r="C145" s="298"/>
      <c r="D145" s="298"/>
      <c r="E145" s="298"/>
      <c r="F145" s="298"/>
      <c r="G145" s="298"/>
      <c r="H145" s="298"/>
      <c r="I145" s="298"/>
      <c r="J145" s="298"/>
      <c r="K145" s="298"/>
      <c r="L145" s="298"/>
      <c r="M145" s="298"/>
      <c r="N145" s="298"/>
      <c r="O145" s="298"/>
      <c r="P145" s="298"/>
      <c r="Q145" s="298"/>
      <c r="R145" s="298"/>
      <c r="S145" s="298"/>
      <c r="T145" s="298"/>
      <c r="U145" s="298"/>
      <c r="V145" s="298"/>
      <c r="W145" s="298"/>
      <c r="X145" s="298"/>
      <c r="Y145" s="298"/>
      <c r="Z145" s="298"/>
    </row>
    <row r="146" ht="15.75" customHeight="1">
      <c r="A146" s="298"/>
      <c r="B146" s="298"/>
      <c r="C146" s="298"/>
      <c r="D146" s="298"/>
      <c r="E146" s="298"/>
      <c r="F146" s="298"/>
      <c r="G146" s="298"/>
      <c r="H146" s="298"/>
      <c r="I146" s="298"/>
      <c r="J146" s="298"/>
      <c r="K146" s="298"/>
      <c r="L146" s="298"/>
      <c r="M146" s="298"/>
      <c r="N146" s="298"/>
      <c r="O146" s="298"/>
      <c r="P146" s="298"/>
      <c r="Q146" s="298"/>
      <c r="R146" s="298"/>
      <c r="S146" s="298"/>
      <c r="T146" s="298"/>
      <c r="U146" s="298"/>
      <c r="V146" s="298"/>
      <c r="W146" s="298"/>
      <c r="X146" s="298"/>
      <c r="Y146" s="298"/>
      <c r="Z146" s="298"/>
    </row>
    <row r="147" ht="15.75" customHeight="1">
      <c r="A147" s="298"/>
      <c r="B147" s="298"/>
      <c r="C147" s="298"/>
      <c r="D147" s="298"/>
      <c r="E147" s="298"/>
      <c r="F147" s="298"/>
      <c r="G147" s="298"/>
      <c r="H147" s="298"/>
      <c r="I147" s="298"/>
      <c r="J147" s="298"/>
      <c r="K147" s="298"/>
      <c r="L147" s="298"/>
      <c r="M147" s="298"/>
      <c r="N147" s="298"/>
      <c r="O147" s="298"/>
      <c r="P147" s="298"/>
      <c r="Q147" s="298"/>
      <c r="R147" s="298"/>
      <c r="S147" s="298"/>
      <c r="T147" s="298"/>
      <c r="U147" s="298"/>
      <c r="V147" s="298"/>
      <c r="W147" s="298"/>
      <c r="X147" s="298"/>
      <c r="Y147" s="298"/>
      <c r="Z147" s="298"/>
    </row>
    <row r="148" ht="15.75" customHeight="1">
      <c r="A148" s="298"/>
      <c r="B148" s="298"/>
      <c r="C148" s="298"/>
      <c r="D148" s="298"/>
      <c r="E148" s="298"/>
      <c r="F148" s="298"/>
      <c r="G148" s="298"/>
      <c r="H148" s="298"/>
      <c r="I148" s="298"/>
      <c r="J148" s="298"/>
      <c r="K148" s="298"/>
      <c r="L148" s="298"/>
      <c r="M148" s="298"/>
      <c r="N148" s="298"/>
      <c r="O148" s="298"/>
      <c r="P148" s="298"/>
      <c r="Q148" s="298"/>
      <c r="R148" s="298"/>
      <c r="S148" s="298"/>
      <c r="T148" s="298"/>
      <c r="U148" s="298"/>
      <c r="V148" s="298"/>
      <c r="W148" s="298"/>
      <c r="X148" s="298"/>
      <c r="Y148" s="298"/>
      <c r="Z148" s="298"/>
    </row>
    <row r="149" ht="15.75" customHeight="1">
      <c r="A149" s="298"/>
      <c r="B149" s="298"/>
      <c r="C149" s="298"/>
      <c r="D149" s="298"/>
      <c r="E149" s="298"/>
      <c r="F149" s="298"/>
      <c r="G149" s="298"/>
      <c r="H149" s="298"/>
      <c r="I149" s="298"/>
      <c r="J149" s="298"/>
      <c r="K149" s="298"/>
      <c r="L149" s="298"/>
      <c r="M149" s="298"/>
      <c r="N149" s="298"/>
      <c r="O149" s="298"/>
      <c r="P149" s="298"/>
      <c r="Q149" s="298"/>
      <c r="R149" s="298"/>
      <c r="S149" s="298"/>
      <c r="T149" s="298"/>
      <c r="U149" s="298"/>
      <c r="V149" s="298"/>
      <c r="W149" s="298"/>
      <c r="X149" s="298"/>
      <c r="Y149" s="298"/>
      <c r="Z149" s="298"/>
    </row>
    <row r="150" ht="15.75" customHeight="1">
      <c r="A150" s="298"/>
      <c r="B150" s="298"/>
      <c r="C150" s="298"/>
      <c r="D150" s="298"/>
      <c r="E150" s="298"/>
      <c r="F150" s="298"/>
      <c r="G150" s="298"/>
      <c r="H150" s="298"/>
      <c r="I150" s="298"/>
      <c r="J150" s="298"/>
      <c r="K150" s="298"/>
      <c r="L150" s="298"/>
      <c r="M150" s="298"/>
      <c r="N150" s="298"/>
      <c r="O150" s="298"/>
      <c r="P150" s="298"/>
      <c r="Q150" s="298"/>
      <c r="R150" s="298"/>
      <c r="S150" s="298"/>
      <c r="T150" s="298"/>
      <c r="U150" s="298"/>
      <c r="V150" s="298"/>
      <c r="W150" s="298"/>
      <c r="X150" s="298"/>
      <c r="Y150" s="298"/>
      <c r="Z150" s="298"/>
    </row>
    <row r="151" ht="15.75" customHeight="1">
      <c r="A151" s="298"/>
      <c r="B151" s="298"/>
      <c r="C151" s="298"/>
      <c r="D151" s="298"/>
      <c r="E151" s="298"/>
      <c r="F151" s="298"/>
      <c r="G151" s="298"/>
      <c r="H151" s="298"/>
      <c r="I151" s="298"/>
      <c r="J151" s="298"/>
      <c r="K151" s="298"/>
      <c r="L151" s="298"/>
      <c r="M151" s="298"/>
      <c r="N151" s="298"/>
      <c r="O151" s="298"/>
      <c r="P151" s="298"/>
      <c r="Q151" s="298"/>
      <c r="R151" s="298"/>
      <c r="S151" s="298"/>
      <c r="T151" s="298"/>
      <c r="U151" s="298"/>
      <c r="V151" s="298"/>
      <c r="W151" s="298"/>
      <c r="X151" s="298"/>
      <c r="Y151" s="298"/>
      <c r="Z151" s="298"/>
    </row>
    <row r="152" ht="15.75" customHeight="1">
      <c r="A152" s="298"/>
      <c r="B152" s="298"/>
      <c r="C152" s="298"/>
      <c r="D152" s="298"/>
      <c r="E152" s="298"/>
      <c r="F152" s="298"/>
      <c r="G152" s="298"/>
      <c r="H152" s="298"/>
      <c r="I152" s="298"/>
      <c r="J152" s="298"/>
      <c r="K152" s="298"/>
      <c r="L152" s="298"/>
      <c r="M152" s="298"/>
      <c r="N152" s="298"/>
      <c r="O152" s="298"/>
      <c r="P152" s="298"/>
      <c r="Q152" s="298"/>
      <c r="R152" s="298"/>
      <c r="S152" s="298"/>
      <c r="T152" s="298"/>
      <c r="U152" s="298"/>
      <c r="V152" s="298"/>
      <c r="W152" s="298"/>
      <c r="X152" s="298"/>
      <c r="Y152" s="298"/>
      <c r="Z152" s="298"/>
    </row>
    <row r="153" ht="15.75" customHeight="1">
      <c r="A153" s="298"/>
      <c r="B153" s="298"/>
      <c r="C153" s="298"/>
      <c r="D153" s="298"/>
      <c r="E153" s="298"/>
      <c r="F153" s="298"/>
      <c r="G153" s="298"/>
      <c r="H153" s="298"/>
      <c r="I153" s="298"/>
      <c r="J153" s="298"/>
      <c r="K153" s="298"/>
      <c r="L153" s="298"/>
      <c r="M153" s="298"/>
      <c r="N153" s="298"/>
      <c r="O153" s="298"/>
      <c r="P153" s="298"/>
      <c r="Q153" s="298"/>
      <c r="R153" s="298"/>
      <c r="S153" s="298"/>
      <c r="T153" s="298"/>
      <c r="U153" s="298"/>
      <c r="V153" s="298"/>
      <c r="W153" s="298"/>
      <c r="X153" s="298"/>
      <c r="Y153" s="298"/>
      <c r="Z153" s="298"/>
    </row>
    <row r="154" ht="15.75" customHeight="1">
      <c r="A154" s="298"/>
      <c r="B154" s="298"/>
      <c r="C154" s="298"/>
      <c r="D154" s="298"/>
      <c r="E154" s="298"/>
      <c r="F154" s="298"/>
      <c r="G154" s="298"/>
      <c r="H154" s="298"/>
      <c r="I154" s="298"/>
      <c r="J154" s="298"/>
      <c r="K154" s="298"/>
      <c r="L154" s="298"/>
      <c r="M154" s="298"/>
      <c r="N154" s="298"/>
      <c r="O154" s="298"/>
      <c r="P154" s="298"/>
      <c r="Q154" s="298"/>
      <c r="R154" s="298"/>
      <c r="S154" s="298"/>
      <c r="T154" s="298"/>
      <c r="U154" s="298"/>
      <c r="V154" s="298"/>
      <c r="W154" s="298"/>
      <c r="X154" s="298"/>
      <c r="Y154" s="298"/>
      <c r="Z154" s="298"/>
    </row>
    <row r="155" ht="15.75" customHeight="1">
      <c r="A155" s="298"/>
      <c r="B155" s="298"/>
      <c r="C155" s="298"/>
      <c r="D155" s="298"/>
      <c r="E155" s="298"/>
      <c r="F155" s="298"/>
      <c r="G155" s="298"/>
      <c r="H155" s="298"/>
      <c r="I155" s="298"/>
      <c r="J155" s="298"/>
      <c r="K155" s="298"/>
      <c r="L155" s="298"/>
      <c r="M155" s="298"/>
      <c r="N155" s="298"/>
      <c r="O155" s="298"/>
      <c r="P155" s="298"/>
      <c r="Q155" s="298"/>
      <c r="R155" s="298"/>
      <c r="S155" s="298"/>
      <c r="T155" s="298"/>
      <c r="U155" s="298"/>
      <c r="V155" s="298"/>
      <c r="W155" s="298"/>
      <c r="X155" s="298"/>
      <c r="Y155" s="298"/>
      <c r="Z155" s="298"/>
    </row>
    <row r="156" ht="15.75" customHeight="1">
      <c r="A156" s="298"/>
      <c r="B156" s="298"/>
      <c r="C156" s="298"/>
      <c r="D156" s="298"/>
      <c r="E156" s="298"/>
      <c r="F156" s="298"/>
      <c r="G156" s="298"/>
      <c r="H156" s="298"/>
      <c r="I156" s="298"/>
      <c r="J156" s="298"/>
      <c r="K156" s="298"/>
      <c r="L156" s="298"/>
      <c r="M156" s="298"/>
      <c r="N156" s="298"/>
      <c r="O156" s="298"/>
      <c r="P156" s="298"/>
      <c r="Q156" s="298"/>
      <c r="R156" s="298"/>
      <c r="S156" s="298"/>
      <c r="T156" s="298"/>
      <c r="U156" s="298"/>
      <c r="V156" s="298"/>
      <c r="W156" s="298"/>
      <c r="X156" s="298"/>
      <c r="Y156" s="298"/>
      <c r="Z156" s="298"/>
    </row>
    <row r="157" ht="15.75" customHeight="1">
      <c r="A157" s="298"/>
      <c r="B157" s="298"/>
      <c r="C157" s="298"/>
      <c r="D157" s="298"/>
      <c r="E157" s="298"/>
      <c r="F157" s="298"/>
      <c r="G157" s="298"/>
      <c r="H157" s="298"/>
      <c r="I157" s="298"/>
      <c r="J157" s="298"/>
      <c r="K157" s="298"/>
      <c r="L157" s="298"/>
      <c r="M157" s="298"/>
      <c r="N157" s="298"/>
      <c r="O157" s="298"/>
      <c r="P157" s="298"/>
      <c r="Q157" s="298"/>
      <c r="R157" s="298"/>
      <c r="S157" s="298"/>
      <c r="T157" s="298"/>
      <c r="U157" s="298"/>
      <c r="V157" s="298"/>
      <c r="W157" s="298"/>
      <c r="X157" s="298"/>
      <c r="Y157" s="298"/>
      <c r="Z157" s="298"/>
    </row>
    <row r="158" ht="15.75" customHeight="1">
      <c r="A158" s="298"/>
      <c r="B158" s="298"/>
      <c r="C158" s="298"/>
      <c r="D158" s="298"/>
      <c r="E158" s="298"/>
      <c r="F158" s="298"/>
      <c r="G158" s="298"/>
      <c r="H158" s="298"/>
      <c r="I158" s="298"/>
      <c r="J158" s="298"/>
      <c r="K158" s="298"/>
      <c r="L158" s="298"/>
      <c r="M158" s="298"/>
      <c r="N158" s="298"/>
      <c r="O158" s="298"/>
      <c r="P158" s="298"/>
      <c r="Q158" s="298"/>
      <c r="R158" s="298"/>
      <c r="S158" s="298"/>
      <c r="T158" s="298"/>
      <c r="U158" s="298"/>
      <c r="V158" s="298"/>
      <c r="W158" s="298"/>
      <c r="X158" s="298"/>
      <c r="Y158" s="298"/>
      <c r="Z158" s="298"/>
    </row>
    <row r="159" ht="15.75" customHeight="1">
      <c r="A159" s="298"/>
      <c r="B159" s="298"/>
      <c r="C159" s="298"/>
      <c r="D159" s="298"/>
      <c r="E159" s="298"/>
      <c r="F159" s="298"/>
      <c r="G159" s="298"/>
      <c r="H159" s="298"/>
      <c r="I159" s="298"/>
      <c r="J159" s="298"/>
      <c r="K159" s="298"/>
      <c r="L159" s="298"/>
      <c r="M159" s="298"/>
      <c r="N159" s="298"/>
      <c r="O159" s="298"/>
      <c r="P159" s="298"/>
      <c r="Q159" s="298"/>
      <c r="R159" s="298"/>
      <c r="S159" s="298"/>
      <c r="T159" s="298"/>
      <c r="U159" s="298"/>
      <c r="V159" s="298"/>
      <c r="W159" s="298"/>
      <c r="X159" s="298"/>
      <c r="Y159" s="298"/>
      <c r="Z159" s="298"/>
    </row>
    <row r="160" ht="15.75" customHeight="1">
      <c r="A160" s="298"/>
      <c r="B160" s="298"/>
      <c r="C160" s="298"/>
      <c r="D160" s="298"/>
      <c r="E160" s="298"/>
      <c r="F160" s="298"/>
      <c r="G160" s="298"/>
      <c r="H160" s="298"/>
      <c r="I160" s="298"/>
      <c r="J160" s="298"/>
      <c r="K160" s="298"/>
      <c r="L160" s="298"/>
      <c r="M160" s="298"/>
      <c r="N160" s="298"/>
      <c r="O160" s="298"/>
      <c r="P160" s="298"/>
      <c r="Q160" s="298"/>
      <c r="R160" s="298"/>
      <c r="S160" s="298"/>
      <c r="T160" s="298"/>
      <c r="U160" s="298"/>
      <c r="V160" s="298"/>
      <c r="W160" s="298"/>
      <c r="X160" s="298"/>
      <c r="Y160" s="298"/>
      <c r="Z160" s="298"/>
    </row>
    <row r="161" ht="15.75" customHeight="1">
      <c r="A161" s="298"/>
      <c r="B161" s="298"/>
      <c r="C161" s="298"/>
      <c r="D161" s="298"/>
      <c r="E161" s="298"/>
      <c r="F161" s="298"/>
      <c r="G161" s="298"/>
      <c r="H161" s="298"/>
      <c r="I161" s="298"/>
      <c r="J161" s="298"/>
      <c r="K161" s="298"/>
      <c r="L161" s="298"/>
      <c r="M161" s="298"/>
      <c r="N161" s="298"/>
      <c r="O161" s="298"/>
      <c r="P161" s="298"/>
      <c r="Q161" s="298"/>
      <c r="R161" s="298"/>
      <c r="S161" s="298"/>
      <c r="T161" s="298"/>
      <c r="U161" s="298"/>
      <c r="V161" s="298"/>
      <c r="W161" s="298"/>
      <c r="X161" s="298"/>
      <c r="Y161" s="298"/>
      <c r="Z161" s="298"/>
    </row>
    <row r="162" ht="15.75" customHeight="1">
      <c r="A162" s="298"/>
      <c r="B162" s="298"/>
      <c r="C162" s="298"/>
      <c r="D162" s="298"/>
      <c r="E162" s="298"/>
      <c r="F162" s="298"/>
      <c r="G162" s="298"/>
      <c r="H162" s="298"/>
      <c r="I162" s="298"/>
      <c r="J162" s="298"/>
      <c r="K162" s="298"/>
      <c r="L162" s="298"/>
      <c r="M162" s="298"/>
      <c r="N162" s="298"/>
      <c r="O162" s="298"/>
      <c r="P162" s="298"/>
      <c r="Q162" s="298"/>
      <c r="R162" s="298"/>
      <c r="S162" s="298"/>
      <c r="T162" s="298"/>
      <c r="U162" s="298"/>
      <c r="V162" s="298"/>
      <c r="W162" s="298"/>
      <c r="X162" s="298"/>
      <c r="Y162" s="298"/>
      <c r="Z162" s="298"/>
    </row>
    <row r="163" ht="15.75" customHeight="1">
      <c r="A163" s="298"/>
      <c r="B163" s="298"/>
      <c r="C163" s="298"/>
      <c r="D163" s="298"/>
      <c r="E163" s="298"/>
      <c r="F163" s="298"/>
      <c r="G163" s="298"/>
      <c r="H163" s="298"/>
      <c r="I163" s="298"/>
      <c r="J163" s="298"/>
      <c r="K163" s="298"/>
      <c r="L163" s="298"/>
      <c r="M163" s="298"/>
      <c r="N163" s="298"/>
      <c r="O163" s="298"/>
      <c r="P163" s="298"/>
      <c r="Q163" s="298"/>
      <c r="R163" s="298"/>
      <c r="S163" s="298"/>
      <c r="T163" s="298"/>
      <c r="U163" s="298"/>
      <c r="V163" s="298"/>
      <c r="W163" s="298"/>
      <c r="X163" s="298"/>
      <c r="Y163" s="298"/>
      <c r="Z163" s="298"/>
    </row>
    <row r="164" ht="15.75" customHeight="1">
      <c r="A164" s="298"/>
      <c r="B164" s="298"/>
      <c r="C164" s="298"/>
      <c r="D164" s="298"/>
      <c r="E164" s="298"/>
      <c r="F164" s="298"/>
      <c r="G164" s="298"/>
      <c r="H164" s="298"/>
      <c r="I164" s="298"/>
      <c r="J164" s="298"/>
      <c r="K164" s="298"/>
      <c r="L164" s="298"/>
      <c r="M164" s="298"/>
      <c r="N164" s="298"/>
      <c r="O164" s="298"/>
      <c r="P164" s="298"/>
      <c r="Q164" s="298"/>
      <c r="R164" s="298"/>
      <c r="S164" s="298"/>
      <c r="T164" s="298"/>
      <c r="U164" s="298"/>
      <c r="V164" s="298"/>
      <c r="W164" s="298"/>
      <c r="X164" s="298"/>
      <c r="Y164" s="298"/>
      <c r="Z164" s="298"/>
    </row>
    <row r="165" ht="15.75" customHeight="1">
      <c r="A165" s="298"/>
      <c r="B165" s="298"/>
      <c r="C165" s="298"/>
      <c r="D165" s="298"/>
      <c r="E165" s="298"/>
      <c r="F165" s="298"/>
      <c r="G165" s="298"/>
      <c r="H165" s="298"/>
      <c r="I165" s="298"/>
      <c r="J165" s="298"/>
      <c r="K165" s="298"/>
      <c r="L165" s="298"/>
      <c r="M165" s="298"/>
      <c r="N165" s="298"/>
      <c r="O165" s="298"/>
      <c r="P165" s="298"/>
      <c r="Q165" s="298"/>
      <c r="R165" s="298"/>
      <c r="S165" s="298"/>
      <c r="T165" s="298"/>
      <c r="U165" s="298"/>
      <c r="V165" s="298"/>
      <c r="W165" s="298"/>
      <c r="X165" s="298"/>
      <c r="Y165" s="298"/>
      <c r="Z165" s="298"/>
    </row>
    <row r="166" ht="15.75" customHeight="1">
      <c r="A166" s="298"/>
      <c r="B166" s="298"/>
      <c r="C166" s="298"/>
      <c r="D166" s="298"/>
      <c r="E166" s="298"/>
      <c r="F166" s="298"/>
      <c r="G166" s="298"/>
      <c r="H166" s="298"/>
      <c r="I166" s="298"/>
      <c r="J166" s="298"/>
      <c r="K166" s="298"/>
      <c r="L166" s="298"/>
      <c r="M166" s="298"/>
      <c r="N166" s="298"/>
      <c r="O166" s="298"/>
      <c r="P166" s="298"/>
      <c r="Q166" s="298"/>
      <c r="R166" s="298"/>
      <c r="S166" s="298"/>
      <c r="T166" s="298"/>
      <c r="U166" s="298"/>
      <c r="V166" s="298"/>
      <c r="W166" s="298"/>
      <c r="X166" s="298"/>
      <c r="Y166" s="298"/>
      <c r="Z166" s="298"/>
    </row>
    <row r="167" ht="15.75" customHeight="1">
      <c r="A167" s="298"/>
      <c r="B167" s="298"/>
      <c r="C167" s="298"/>
      <c r="D167" s="298"/>
      <c r="E167" s="298"/>
      <c r="F167" s="298"/>
      <c r="G167" s="298"/>
      <c r="H167" s="298"/>
      <c r="I167" s="298"/>
      <c r="J167" s="298"/>
      <c r="K167" s="298"/>
      <c r="L167" s="298"/>
      <c r="M167" s="298"/>
      <c r="N167" s="298"/>
      <c r="O167" s="298"/>
      <c r="P167" s="298"/>
      <c r="Q167" s="298"/>
      <c r="R167" s="298"/>
      <c r="S167" s="298"/>
      <c r="T167" s="298"/>
      <c r="U167" s="298"/>
      <c r="V167" s="298"/>
      <c r="W167" s="298"/>
      <c r="X167" s="298"/>
      <c r="Y167" s="298"/>
      <c r="Z167" s="298"/>
    </row>
    <row r="168" ht="15.75" customHeight="1">
      <c r="A168" s="298"/>
      <c r="B168" s="298"/>
      <c r="C168" s="298"/>
      <c r="D168" s="298"/>
      <c r="E168" s="298"/>
      <c r="F168" s="298"/>
      <c r="G168" s="298"/>
      <c r="H168" s="298"/>
      <c r="I168" s="298"/>
      <c r="J168" s="298"/>
      <c r="K168" s="298"/>
      <c r="L168" s="298"/>
      <c r="M168" s="298"/>
      <c r="N168" s="298"/>
      <c r="O168" s="298"/>
      <c r="P168" s="298"/>
      <c r="Q168" s="298"/>
      <c r="R168" s="298"/>
      <c r="S168" s="298"/>
      <c r="T168" s="298"/>
      <c r="U168" s="298"/>
      <c r="V168" s="298"/>
      <c r="W168" s="298"/>
      <c r="X168" s="298"/>
      <c r="Y168" s="298"/>
      <c r="Z168" s="298"/>
    </row>
    <row r="169" ht="15.75" customHeight="1">
      <c r="A169" s="298"/>
      <c r="B169" s="298"/>
      <c r="C169" s="298"/>
      <c r="D169" s="298"/>
      <c r="E169" s="298"/>
      <c r="F169" s="298"/>
      <c r="G169" s="298"/>
      <c r="H169" s="298"/>
      <c r="I169" s="298"/>
      <c r="J169" s="298"/>
      <c r="K169" s="298"/>
      <c r="L169" s="298"/>
      <c r="M169" s="298"/>
      <c r="N169" s="298"/>
      <c r="O169" s="298"/>
      <c r="P169" s="298"/>
      <c r="Q169" s="298"/>
      <c r="R169" s="298"/>
      <c r="S169" s="298"/>
      <c r="T169" s="298"/>
      <c r="U169" s="298"/>
      <c r="V169" s="298"/>
      <c r="W169" s="298"/>
      <c r="X169" s="298"/>
      <c r="Y169" s="298"/>
      <c r="Z169" s="298"/>
    </row>
    <row r="170" ht="15.75" customHeight="1">
      <c r="A170" s="298"/>
      <c r="B170" s="298"/>
      <c r="C170" s="298"/>
      <c r="D170" s="298"/>
      <c r="E170" s="298"/>
      <c r="F170" s="298"/>
      <c r="G170" s="298"/>
      <c r="H170" s="298"/>
      <c r="I170" s="298"/>
      <c r="J170" s="298"/>
      <c r="K170" s="298"/>
      <c r="L170" s="298"/>
      <c r="M170" s="298"/>
      <c r="N170" s="298"/>
      <c r="O170" s="298"/>
      <c r="P170" s="298"/>
      <c r="Q170" s="298"/>
      <c r="R170" s="298"/>
      <c r="S170" s="298"/>
      <c r="T170" s="298"/>
      <c r="U170" s="298"/>
      <c r="V170" s="298"/>
      <c r="W170" s="298"/>
      <c r="X170" s="298"/>
      <c r="Y170" s="298"/>
      <c r="Z170" s="298"/>
    </row>
    <row r="171" ht="15.75" customHeight="1">
      <c r="A171" s="298"/>
      <c r="B171" s="298"/>
      <c r="C171" s="298"/>
      <c r="D171" s="298"/>
      <c r="E171" s="298"/>
      <c r="F171" s="298"/>
      <c r="G171" s="298"/>
      <c r="H171" s="298"/>
      <c r="I171" s="298"/>
      <c r="J171" s="298"/>
      <c r="K171" s="298"/>
      <c r="L171" s="298"/>
      <c r="M171" s="298"/>
      <c r="N171" s="298"/>
      <c r="O171" s="298"/>
      <c r="P171" s="298"/>
      <c r="Q171" s="298"/>
      <c r="R171" s="298"/>
      <c r="S171" s="298"/>
      <c r="T171" s="298"/>
      <c r="U171" s="298"/>
      <c r="V171" s="298"/>
      <c r="W171" s="298"/>
      <c r="X171" s="298"/>
      <c r="Y171" s="298"/>
      <c r="Z171" s="298"/>
    </row>
    <row r="172" ht="15.75" customHeight="1">
      <c r="A172" s="298"/>
      <c r="B172" s="298"/>
      <c r="C172" s="298"/>
      <c r="D172" s="298"/>
      <c r="E172" s="298"/>
      <c r="F172" s="298"/>
      <c r="G172" s="298"/>
      <c r="H172" s="298"/>
      <c r="I172" s="298"/>
      <c r="J172" s="298"/>
      <c r="K172" s="298"/>
      <c r="L172" s="298"/>
      <c r="M172" s="298"/>
      <c r="N172" s="298"/>
      <c r="O172" s="298"/>
      <c r="P172" s="298"/>
      <c r="Q172" s="298"/>
      <c r="R172" s="298"/>
      <c r="S172" s="298"/>
      <c r="T172" s="298"/>
      <c r="U172" s="298"/>
      <c r="V172" s="298"/>
      <c r="W172" s="298"/>
      <c r="X172" s="298"/>
      <c r="Y172" s="298"/>
      <c r="Z172" s="298"/>
    </row>
    <row r="173" ht="15.75" customHeight="1">
      <c r="A173" s="298"/>
      <c r="B173" s="298"/>
      <c r="C173" s="298"/>
      <c r="D173" s="298"/>
      <c r="E173" s="298"/>
      <c r="F173" s="298"/>
      <c r="G173" s="298"/>
      <c r="H173" s="298"/>
      <c r="I173" s="298"/>
      <c r="J173" s="298"/>
      <c r="K173" s="298"/>
      <c r="L173" s="298"/>
      <c r="M173" s="298"/>
      <c r="N173" s="298"/>
      <c r="O173" s="298"/>
      <c r="P173" s="298"/>
      <c r="Q173" s="298"/>
      <c r="R173" s="298"/>
      <c r="S173" s="298"/>
      <c r="T173" s="298"/>
      <c r="U173" s="298"/>
      <c r="V173" s="298"/>
      <c r="W173" s="298"/>
      <c r="X173" s="298"/>
      <c r="Y173" s="298"/>
      <c r="Z173" s="298"/>
    </row>
    <row r="174" ht="15.75" customHeight="1">
      <c r="A174" s="298"/>
      <c r="B174" s="298"/>
      <c r="C174" s="298"/>
      <c r="D174" s="298"/>
      <c r="E174" s="298"/>
      <c r="F174" s="298"/>
      <c r="G174" s="298"/>
      <c r="H174" s="298"/>
      <c r="I174" s="298"/>
      <c r="J174" s="298"/>
      <c r="K174" s="298"/>
      <c r="L174" s="298"/>
      <c r="M174" s="298"/>
      <c r="N174" s="298"/>
      <c r="O174" s="298"/>
      <c r="P174" s="298"/>
      <c r="Q174" s="298"/>
      <c r="R174" s="298"/>
      <c r="S174" s="298"/>
      <c r="T174" s="298"/>
      <c r="U174" s="298"/>
      <c r="V174" s="298"/>
      <c r="W174" s="298"/>
      <c r="X174" s="298"/>
      <c r="Y174" s="298"/>
      <c r="Z174" s="298"/>
    </row>
    <row r="175" ht="15.75" customHeight="1">
      <c r="A175" s="298"/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</row>
    <row r="176" ht="15.75" customHeight="1">
      <c r="A176" s="298"/>
      <c r="B176" s="298"/>
      <c r="C176" s="298"/>
      <c r="D176" s="298"/>
      <c r="E176" s="298"/>
      <c r="F176" s="298"/>
      <c r="G176" s="298"/>
      <c r="H176" s="298"/>
      <c r="I176" s="298"/>
      <c r="J176" s="298"/>
      <c r="K176" s="298"/>
      <c r="L176" s="298"/>
      <c r="M176" s="298"/>
      <c r="N176" s="298"/>
      <c r="O176" s="298"/>
      <c r="P176" s="298"/>
      <c r="Q176" s="298"/>
      <c r="R176" s="298"/>
      <c r="S176" s="298"/>
      <c r="T176" s="298"/>
      <c r="U176" s="298"/>
      <c r="V176" s="298"/>
      <c r="W176" s="298"/>
      <c r="X176" s="298"/>
      <c r="Y176" s="298"/>
      <c r="Z176" s="298"/>
    </row>
    <row r="177" ht="15.75" customHeight="1">
      <c r="A177" s="298"/>
      <c r="B177" s="298"/>
      <c r="C177" s="298"/>
      <c r="D177" s="298"/>
      <c r="E177" s="298"/>
      <c r="F177" s="298"/>
      <c r="G177" s="298"/>
      <c r="H177" s="298"/>
      <c r="I177" s="298"/>
      <c r="J177" s="298"/>
      <c r="K177" s="298"/>
      <c r="L177" s="298"/>
      <c r="M177" s="298"/>
      <c r="N177" s="298"/>
      <c r="O177" s="298"/>
      <c r="P177" s="298"/>
      <c r="Q177" s="298"/>
      <c r="R177" s="298"/>
      <c r="S177" s="298"/>
      <c r="T177" s="298"/>
      <c r="U177" s="298"/>
      <c r="V177" s="298"/>
      <c r="W177" s="298"/>
      <c r="X177" s="298"/>
      <c r="Y177" s="298"/>
      <c r="Z177" s="298"/>
    </row>
    <row r="178" ht="15.75" customHeight="1">
      <c r="A178" s="298"/>
      <c r="B178" s="298"/>
      <c r="C178" s="298"/>
      <c r="D178" s="298"/>
      <c r="E178" s="298"/>
      <c r="F178" s="298"/>
      <c r="G178" s="298"/>
      <c r="H178" s="298"/>
      <c r="I178" s="298"/>
      <c r="J178" s="298"/>
      <c r="K178" s="298"/>
      <c r="L178" s="298"/>
      <c r="M178" s="298"/>
      <c r="N178" s="298"/>
      <c r="O178" s="298"/>
      <c r="P178" s="298"/>
      <c r="Q178" s="298"/>
      <c r="R178" s="298"/>
      <c r="S178" s="298"/>
      <c r="T178" s="298"/>
      <c r="U178" s="298"/>
      <c r="V178" s="298"/>
      <c r="W178" s="298"/>
      <c r="X178" s="298"/>
      <c r="Y178" s="298"/>
      <c r="Z178" s="298"/>
    </row>
    <row r="179" ht="15.75" customHeight="1">
      <c r="A179" s="298"/>
      <c r="B179" s="298"/>
      <c r="C179" s="298"/>
      <c r="D179" s="298"/>
      <c r="E179" s="298"/>
      <c r="F179" s="298"/>
      <c r="G179" s="298"/>
      <c r="H179" s="298"/>
      <c r="I179" s="298"/>
      <c r="J179" s="298"/>
      <c r="K179" s="298"/>
      <c r="L179" s="298"/>
      <c r="M179" s="298"/>
      <c r="N179" s="298"/>
      <c r="O179" s="298"/>
      <c r="P179" s="298"/>
      <c r="Q179" s="298"/>
      <c r="R179" s="298"/>
      <c r="S179" s="298"/>
      <c r="T179" s="298"/>
      <c r="U179" s="298"/>
      <c r="V179" s="298"/>
      <c r="W179" s="298"/>
      <c r="X179" s="298"/>
      <c r="Y179" s="298"/>
      <c r="Z179" s="298"/>
    </row>
    <row r="180" ht="15.75" customHeight="1">
      <c r="A180" s="298"/>
      <c r="B180" s="298"/>
      <c r="C180" s="298"/>
      <c r="D180" s="298"/>
      <c r="E180" s="298"/>
      <c r="F180" s="298"/>
      <c r="G180" s="298"/>
      <c r="H180" s="298"/>
      <c r="I180" s="298"/>
      <c r="J180" s="298"/>
      <c r="K180" s="298"/>
      <c r="L180" s="298"/>
      <c r="M180" s="298"/>
      <c r="N180" s="298"/>
      <c r="O180" s="298"/>
      <c r="P180" s="298"/>
      <c r="Q180" s="298"/>
      <c r="R180" s="298"/>
      <c r="S180" s="298"/>
      <c r="T180" s="298"/>
      <c r="U180" s="298"/>
      <c r="V180" s="298"/>
      <c r="W180" s="298"/>
      <c r="X180" s="298"/>
      <c r="Y180" s="298"/>
      <c r="Z180" s="298"/>
    </row>
    <row r="181" ht="15.75" customHeight="1">
      <c r="A181" s="298"/>
      <c r="B181" s="298"/>
      <c r="C181" s="298"/>
      <c r="D181" s="298"/>
      <c r="E181" s="298"/>
      <c r="F181" s="298"/>
      <c r="G181" s="298"/>
      <c r="H181" s="298"/>
      <c r="I181" s="298"/>
      <c r="J181" s="298"/>
      <c r="K181" s="298"/>
      <c r="L181" s="298"/>
      <c r="M181" s="298"/>
      <c r="N181" s="298"/>
      <c r="O181" s="298"/>
      <c r="P181" s="298"/>
      <c r="Q181" s="298"/>
      <c r="R181" s="298"/>
      <c r="S181" s="298"/>
      <c r="T181" s="298"/>
      <c r="U181" s="298"/>
      <c r="V181" s="298"/>
      <c r="W181" s="298"/>
      <c r="X181" s="298"/>
      <c r="Y181" s="298"/>
      <c r="Z181" s="298"/>
    </row>
    <row r="182" ht="15.75" customHeight="1">
      <c r="A182" s="298"/>
      <c r="B182" s="298"/>
      <c r="C182" s="298"/>
      <c r="D182" s="298"/>
      <c r="E182" s="298"/>
      <c r="F182" s="298"/>
      <c r="G182" s="298"/>
      <c r="H182" s="298"/>
      <c r="I182" s="298"/>
      <c r="J182" s="298"/>
      <c r="K182" s="298"/>
      <c r="L182" s="298"/>
      <c r="M182" s="298"/>
      <c r="N182" s="298"/>
      <c r="O182" s="298"/>
      <c r="P182" s="298"/>
      <c r="Q182" s="298"/>
      <c r="R182" s="298"/>
      <c r="S182" s="298"/>
      <c r="T182" s="298"/>
      <c r="U182" s="298"/>
      <c r="V182" s="298"/>
      <c r="W182" s="298"/>
      <c r="X182" s="298"/>
      <c r="Y182" s="298"/>
      <c r="Z182" s="298"/>
    </row>
    <row r="183" ht="15.75" customHeight="1">
      <c r="A183" s="298"/>
      <c r="B183" s="298"/>
      <c r="C183" s="298"/>
      <c r="D183" s="298"/>
      <c r="E183" s="298"/>
      <c r="F183" s="298"/>
      <c r="G183" s="298"/>
      <c r="H183" s="298"/>
      <c r="I183" s="298"/>
      <c r="J183" s="298"/>
      <c r="K183" s="298"/>
      <c r="L183" s="298"/>
      <c r="M183" s="298"/>
      <c r="N183" s="298"/>
      <c r="O183" s="298"/>
      <c r="P183" s="298"/>
      <c r="Q183" s="298"/>
      <c r="R183" s="298"/>
      <c r="S183" s="298"/>
      <c r="T183" s="298"/>
      <c r="U183" s="298"/>
      <c r="V183" s="298"/>
      <c r="W183" s="298"/>
      <c r="X183" s="298"/>
      <c r="Y183" s="298"/>
      <c r="Z183" s="298"/>
    </row>
    <row r="184" ht="15.75" customHeight="1">
      <c r="A184" s="298"/>
      <c r="B184" s="298"/>
      <c r="C184" s="298"/>
      <c r="D184" s="298"/>
      <c r="E184" s="298"/>
      <c r="F184" s="298"/>
      <c r="G184" s="298"/>
      <c r="H184" s="298"/>
      <c r="I184" s="298"/>
      <c r="J184" s="298"/>
      <c r="K184" s="298"/>
      <c r="L184" s="298"/>
      <c r="M184" s="298"/>
      <c r="N184" s="298"/>
      <c r="O184" s="298"/>
      <c r="P184" s="298"/>
      <c r="Q184" s="298"/>
      <c r="R184" s="298"/>
      <c r="S184" s="298"/>
      <c r="T184" s="298"/>
      <c r="U184" s="298"/>
      <c r="V184" s="298"/>
      <c r="W184" s="298"/>
      <c r="X184" s="298"/>
      <c r="Y184" s="298"/>
      <c r="Z184" s="298"/>
    </row>
    <row r="185" ht="15.75" customHeight="1">
      <c r="A185" s="298"/>
      <c r="B185" s="298"/>
      <c r="C185" s="298"/>
      <c r="D185" s="298"/>
      <c r="E185" s="298"/>
      <c r="F185" s="298"/>
      <c r="G185" s="298"/>
      <c r="H185" s="298"/>
      <c r="I185" s="298"/>
      <c r="J185" s="298"/>
      <c r="K185" s="298"/>
      <c r="L185" s="298"/>
      <c r="M185" s="298"/>
      <c r="N185" s="298"/>
      <c r="O185" s="298"/>
      <c r="P185" s="298"/>
      <c r="Q185" s="298"/>
      <c r="R185" s="298"/>
      <c r="S185" s="298"/>
      <c r="T185" s="298"/>
      <c r="U185" s="298"/>
      <c r="V185" s="298"/>
      <c r="W185" s="298"/>
      <c r="X185" s="298"/>
      <c r="Y185" s="298"/>
      <c r="Z185" s="298"/>
    </row>
    <row r="186" ht="15.75" customHeight="1">
      <c r="A186" s="298"/>
      <c r="B186" s="298"/>
      <c r="C186" s="298"/>
      <c r="D186" s="298"/>
      <c r="E186" s="298"/>
      <c r="F186" s="298"/>
      <c r="G186" s="298"/>
      <c r="H186" s="298"/>
      <c r="I186" s="298"/>
      <c r="J186" s="298"/>
      <c r="K186" s="298"/>
      <c r="L186" s="298"/>
      <c r="M186" s="298"/>
      <c r="N186" s="298"/>
      <c r="O186" s="298"/>
      <c r="P186" s="298"/>
      <c r="Q186" s="298"/>
      <c r="R186" s="298"/>
      <c r="S186" s="298"/>
      <c r="T186" s="298"/>
      <c r="U186" s="298"/>
      <c r="V186" s="298"/>
      <c r="W186" s="298"/>
      <c r="X186" s="298"/>
      <c r="Y186" s="298"/>
      <c r="Z186" s="298"/>
    </row>
    <row r="187" ht="15.75" customHeight="1">
      <c r="A187" s="298"/>
      <c r="B187" s="298"/>
      <c r="C187" s="298"/>
      <c r="D187" s="298"/>
      <c r="E187" s="298"/>
      <c r="F187" s="298"/>
      <c r="G187" s="298"/>
      <c r="H187" s="298"/>
      <c r="I187" s="298"/>
      <c r="J187" s="298"/>
      <c r="K187" s="298"/>
      <c r="L187" s="298"/>
      <c r="M187" s="298"/>
      <c r="N187" s="298"/>
      <c r="O187" s="298"/>
      <c r="P187" s="298"/>
      <c r="Q187" s="298"/>
      <c r="R187" s="298"/>
      <c r="S187" s="298"/>
      <c r="T187" s="298"/>
      <c r="U187" s="298"/>
      <c r="V187" s="298"/>
      <c r="W187" s="298"/>
      <c r="X187" s="298"/>
      <c r="Y187" s="298"/>
      <c r="Z187" s="298"/>
    </row>
    <row r="188" ht="15.75" customHeight="1">
      <c r="A188" s="298"/>
      <c r="B188" s="298"/>
      <c r="C188" s="298"/>
      <c r="D188" s="298"/>
      <c r="E188" s="298"/>
      <c r="F188" s="298"/>
      <c r="G188" s="298"/>
      <c r="H188" s="298"/>
      <c r="I188" s="298"/>
      <c r="J188" s="298"/>
      <c r="K188" s="298"/>
      <c r="L188" s="298"/>
      <c r="M188" s="298"/>
      <c r="N188" s="298"/>
      <c r="O188" s="298"/>
      <c r="P188" s="298"/>
      <c r="Q188" s="298"/>
      <c r="R188" s="298"/>
      <c r="S188" s="298"/>
      <c r="T188" s="298"/>
      <c r="U188" s="298"/>
      <c r="V188" s="298"/>
      <c r="W188" s="298"/>
      <c r="X188" s="298"/>
      <c r="Y188" s="298"/>
      <c r="Z188" s="298"/>
    </row>
    <row r="189" ht="15.75" customHeight="1">
      <c r="A189" s="298"/>
      <c r="B189" s="298"/>
      <c r="C189" s="298"/>
      <c r="D189" s="298"/>
      <c r="E189" s="298"/>
      <c r="F189" s="298"/>
      <c r="G189" s="298"/>
      <c r="H189" s="298"/>
      <c r="I189" s="298"/>
      <c r="J189" s="298"/>
      <c r="K189" s="298"/>
      <c r="L189" s="298"/>
      <c r="M189" s="298"/>
      <c r="N189" s="298"/>
      <c r="O189" s="298"/>
      <c r="P189" s="298"/>
      <c r="Q189" s="298"/>
      <c r="R189" s="298"/>
      <c r="S189" s="298"/>
      <c r="T189" s="298"/>
      <c r="U189" s="298"/>
      <c r="V189" s="298"/>
      <c r="W189" s="298"/>
      <c r="X189" s="298"/>
      <c r="Y189" s="298"/>
      <c r="Z189" s="298"/>
    </row>
    <row r="190" ht="15.75" customHeight="1">
      <c r="A190" s="298"/>
      <c r="B190" s="298"/>
      <c r="C190" s="298"/>
      <c r="D190" s="298"/>
      <c r="E190" s="298"/>
      <c r="F190" s="298"/>
      <c r="G190" s="298"/>
      <c r="H190" s="298"/>
      <c r="I190" s="298"/>
      <c r="J190" s="298"/>
      <c r="K190" s="298"/>
      <c r="L190" s="298"/>
      <c r="M190" s="298"/>
      <c r="N190" s="298"/>
      <c r="O190" s="298"/>
      <c r="P190" s="298"/>
      <c r="Q190" s="298"/>
      <c r="R190" s="298"/>
      <c r="S190" s="298"/>
      <c r="T190" s="298"/>
      <c r="U190" s="298"/>
      <c r="V190" s="298"/>
      <c r="W190" s="298"/>
      <c r="X190" s="298"/>
      <c r="Y190" s="298"/>
      <c r="Z190" s="298"/>
    </row>
    <row r="191" ht="15.75" customHeight="1">
      <c r="A191" s="298"/>
      <c r="B191" s="298"/>
      <c r="C191" s="298"/>
      <c r="D191" s="298"/>
      <c r="E191" s="298"/>
      <c r="F191" s="298"/>
      <c r="G191" s="298"/>
      <c r="H191" s="298"/>
      <c r="I191" s="298"/>
      <c r="J191" s="298"/>
      <c r="K191" s="298"/>
      <c r="L191" s="298"/>
      <c r="M191" s="298"/>
      <c r="N191" s="298"/>
      <c r="O191" s="298"/>
      <c r="P191" s="298"/>
      <c r="Q191" s="298"/>
      <c r="R191" s="298"/>
      <c r="S191" s="298"/>
      <c r="T191" s="298"/>
      <c r="U191" s="298"/>
      <c r="V191" s="298"/>
      <c r="W191" s="298"/>
      <c r="X191" s="298"/>
      <c r="Y191" s="298"/>
      <c r="Z191" s="298"/>
    </row>
    <row r="192" ht="15.75" customHeight="1">
      <c r="A192" s="298"/>
      <c r="B192" s="298"/>
      <c r="C192" s="298"/>
      <c r="D192" s="298"/>
      <c r="E192" s="298"/>
      <c r="F192" s="298"/>
      <c r="G192" s="298"/>
      <c r="H192" s="298"/>
      <c r="I192" s="298"/>
      <c r="J192" s="298"/>
      <c r="K192" s="298"/>
      <c r="L192" s="298"/>
      <c r="M192" s="298"/>
      <c r="N192" s="298"/>
      <c r="O192" s="298"/>
      <c r="P192" s="298"/>
      <c r="Q192" s="298"/>
      <c r="R192" s="298"/>
      <c r="S192" s="298"/>
      <c r="T192" s="298"/>
      <c r="U192" s="298"/>
      <c r="V192" s="298"/>
      <c r="W192" s="298"/>
      <c r="X192" s="298"/>
      <c r="Y192" s="298"/>
      <c r="Z192" s="298"/>
    </row>
    <row r="193" ht="15.75" customHeight="1">
      <c r="A193" s="298"/>
      <c r="B193" s="298"/>
      <c r="C193" s="298"/>
      <c r="D193" s="298"/>
      <c r="E193" s="298"/>
      <c r="F193" s="298"/>
      <c r="G193" s="298"/>
      <c r="H193" s="298"/>
      <c r="I193" s="298"/>
      <c r="J193" s="298"/>
      <c r="K193" s="298"/>
      <c r="L193" s="298"/>
      <c r="M193" s="298"/>
      <c r="N193" s="298"/>
      <c r="O193" s="298"/>
      <c r="P193" s="298"/>
      <c r="Q193" s="298"/>
      <c r="R193" s="298"/>
      <c r="S193" s="298"/>
      <c r="T193" s="298"/>
      <c r="U193" s="298"/>
      <c r="V193" s="298"/>
      <c r="W193" s="298"/>
      <c r="X193" s="298"/>
      <c r="Y193" s="298"/>
      <c r="Z193" s="298"/>
    </row>
    <row r="194" ht="15.75" customHeight="1">
      <c r="A194" s="298"/>
      <c r="B194" s="298"/>
      <c r="C194" s="298"/>
      <c r="D194" s="298"/>
      <c r="E194" s="298"/>
      <c r="F194" s="298"/>
      <c r="G194" s="298"/>
      <c r="H194" s="298"/>
      <c r="I194" s="298"/>
      <c r="J194" s="298"/>
      <c r="K194" s="298"/>
      <c r="L194" s="298"/>
      <c r="M194" s="298"/>
      <c r="N194" s="298"/>
      <c r="O194" s="298"/>
      <c r="P194" s="298"/>
      <c r="Q194" s="298"/>
      <c r="R194" s="298"/>
      <c r="S194" s="298"/>
      <c r="T194" s="298"/>
      <c r="U194" s="298"/>
      <c r="V194" s="298"/>
      <c r="W194" s="298"/>
      <c r="X194" s="298"/>
      <c r="Y194" s="298"/>
      <c r="Z194" s="298"/>
    </row>
    <row r="195" ht="15.75" customHeight="1">
      <c r="A195" s="298"/>
      <c r="B195" s="298"/>
      <c r="C195" s="298"/>
      <c r="D195" s="298"/>
      <c r="E195" s="298"/>
      <c r="F195" s="298"/>
      <c r="G195" s="298"/>
      <c r="H195" s="298"/>
      <c r="I195" s="298"/>
      <c r="J195" s="298"/>
      <c r="K195" s="298"/>
      <c r="L195" s="298"/>
      <c r="M195" s="298"/>
      <c r="N195" s="298"/>
      <c r="O195" s="298"/>
      <c r="P195" s="298"/>
      <c r="Q195" s="298"/>
      <c r="R195" s="298"/>
      <c r="S195" s="298"/>
      <c r="T195" s="298"/>
      <c r="U195" s="298"/>
      <c r="V195" s="298"/>
      <c r="W195" s="298"/>
      <c r="X195" s="298"/>
      <c r="Y195" s="298"/>
      <c r="Z195" s="298"/>
    </row>
    <row r="196" ht="15.75" customHeight="1">
      <c r="A196" s="298"/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</row>
    <row r="197" ht="15.75" customHeight="1">
      <c r="A197" s="298"/>
      <c r="B197" s="298"/>
      <c r="C197" s="298"/>
      <c r="D197" s="298"/>
      <c r="E197" s="298"/>
      <c r="F197" s="298"/>
      <c r="G197" s="298"/>
      <c r="H197" s="298"/>
      <c r="I197" s="298"/>
      <c r="J197" s="298"/>
      <c r="K197" s="298"/>
      <c r="L197" s="298"/>
      <c r="M197" s="298"/>
      <c r="N197" s="298"/>
      <c r="O197" s="298"/>
      <c r="P197" s="298"/>
      <c r="Q197" s="298"/>
      <c r="R197" s="298"/>
      <c r="S197" s="298"/>
      <c r="T197" s="298"/>
      <c r="U197" s="298"/>
      <c r="V197" s="298"/>
      <c r="W197" s="298"/>
      <c r="X197" s="298"/>
      <c r="Y197" s="298"/>
      <c r="Z197" s="298"/>
    </row>
    <row r="198" ht="15.75" customHeight="1">
      <c r="A198" s="298"/>
      <c r="B198" s="298"/>
      <c r="C198" s="298"/>
      <c r="D198" s="298"/>
      <c r="E198" s="298"/>
      <c r="F198" s="298"/>
      <c r="G198" s="298"/>
      <c r="H198" s="298"/>
      <c r="I198" s="298"/>
      <c r="J198" s="298"/>
      <c r="K198" s="298"/>
      <c r="L198" s="298"/>
      <c r="M198" s="298"/>
      <c r="N198" s="298"/>
      <c r="O198" s="298"/>
      <c r="P198" s="298"/>
      <c r="Q198" s="298"/>
      <c r="R198" s="298"/>
      <c r="S198" s="298"/>
      <c r="T198" s="298"/>
      <c r="U198" s="298"/>
      <c r="V198" s="298"/>
      <c r="W198" s="298"/>
      <c r="X198" s="298"/>
      <c r="Y198" s="298"/>
      <c r="Z198" s="298"/>
    </row>
    <row r="199" ht="15.75" customHeight="1">
      <c r="A199" s="298"/>
      <c r="B199" s="298"/>
      <c r="C199" s="298"/>
      <c r="D199" s="298"/>
      <c r="E199" s="298"/>
      <c r="F199" s="298"/>
      <c r="G199" s="298"/>
      <c r="H199" s="298"/>
      <c r="I199" s="298"/>
      <c r="J199" s="298"/>
      <c r="K199" s="298"/>
      <c r="L199" s="298"/>
      <c r="M199" s="298"/>
      <c r="N199" s="298"/>
      <c r="O199" s="298"/>
      <c r="P199" s="298"/>
      <c r="Q199" s="298"/>
      <c r="R199" s="298"/>
      <c r="S199" s="298"/>
      <c r="T199" s="298"/>
      <c r="U199" s="298"/>
      <c r="V199" s="298"/>
      <c r="W199" s="298"/>
      <c r="X199" s="298"/>
      <c r="Y199" s="298"/>
      <c r="Z199" s="298"/>
    </row>
    <row r="200" ht="15.75" customHeight="1">
      <c r="A200" s="298"/>
      <c r="B200" s="298"/>
      <c r="C200" s="298"/>
      <c r="D200" s="298"/>
      <c r="E200" s="298"/>
      <c r="F200" s="298"/>
      <c r="G200" s="298"/>
      <c r="H200" s="298"/>
      <c r="I200" s="298"/>
      <c r="J200" s="298"/>
      <c r="K200" s="298"/>
      <c r="L200" s="298"/>
      <c r="M200" s="298"/>
      <c r="N200" s="298"/>
      <c r="O200" s="298"/>
      <c r="P200" s="298"/>
      <c r="Q200" s="298"/>
      <c r="R200" s="298"/>
      <c r="S200" s="298"/>
      <c r="T200" s="298"/>
      <c r="U200" s="298"/>
      <c r="V200" s="298"/>
      <c r="W200" s="298"/>
      <c r="X200" s="298"/>
      <c r="Y200" s="298"/>
      <c r="Z200" s="298"/>
    </row>
    <row r="201" ht="15.75" customHeight="1">
      <c r="A201" s="298"/>
      <c r="B201" s="298"/>
      <c r="C201" s="298"/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</row>
    <row r="202" ht="15.75" customHeight="1">
      <c r="A202" s="298"/>
      <c r="B202" s="298"/>
      <c r="C202" s="298"/>
      <c r="D202" s="298"/>
      <c r="E202" s="298"/>
      <c r="F202" s="298"/>
      <c r="G202" s="298"/>
      <c r="H202" s="298"/>
      <c r="I202" s="298"/>
      <c r="J202" s="298"/>
      <c r="K202" s="298"/>
      <c r="L202" s="298"/>
      <c r="M202" s="298"/>
      <c r="N202" s="298"/>
      <c r="O202" s="298"/>
      <c r="P202" s="298"/>
      <c r="Q202" s="298"/>
      <c r="R202" s="298"/>
      <c r="S202" s="298"/>
      <c r="T202" s="298"/>
      <c r="U202" s="298"/>
      <c r="V202" s="298"/>
      <c r="W202" s="298"/>
      <c r="X202" s="298"/>
      <c r="Y202" s="298"/>
      <c r="Z202" s="298"/>
    </row>
    <row r="203" ht="15.75" customHeight="1">
      <c r="A203" s="298"/>
      <c r="B203" s="298"/>
      <c r="C203" s="298"/>
      <c r="D203" s="298"/>
      <c r="E203" s="298"/>
      <c r="F203" s="298"/>
      <c r="G203" s="298"/>
      <c r="H203" s="298"/>
      <c r="I203" s="298"/>
      <c r="J203" s="298"/>
      <c r="K203" s="298"/>
      <c r="L203" s="298"/>
      <c r="M203" s="298"/>
      <c r="N203" s="298"/>
      <c r="O203" s="298"/>
      <c r="P203" s="298"/>
      <c r="Q203" s="298"/>
      <c r="R203" s="298"/>
      <c r="S203" s="298"/>
      <c r="T203" s="298"/>
      <c r="U203" s="298"/>
      <c r="V203" s="298"/>
      <c r="W203" s="298"/>
      <c r="X203" s="298"/>
      <c r="Y203" s="298"/>
      <c r="Z203" s="298"/>
    </row>
    <row r="204" ht="15.75" customHeight="1">
      <c r="A204" s="298"/>
      <c r="B204" s="298"/>
      <c r="C204" s="298"/>
      <c r="D204" s="298"/>
      <c r="E204" s="298"/>
      <c r="F204" s="298"/>
      <c r="G204" s="298"/>
      <c r="H204" s="298"/>
      <c r="I204" s="298"/>
      <c r="J204" s="298"/>
      <c r="K204" s="298"/>
      <c r="L204" s="298"/>
      <c r="M204" s="298"/>
      <c r="N204" s="298"/>
      <c r="O204" s="298"/>
      <c r="P204" s="298"/>
      <c r="Q204" s="298"/>
      <c r="R204" s="298"/>
      <c r="S204" s="298"/>
      <c r="T204" s="298"/>
      <c r="U204" s="298"/>
      <c r="V204" s="298"/>
      <c r="W204" s="298"/>
      <c r="X204" s="298"/>
      <c r="Y204" s="298"/>
      <c r="Z204" s="298"/>
    </row>
    <row r="205" ht="15.75" customHeight="1">
      <c r="A205" s="298"/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</row>
    <row r="206" ht="15.75" customHeight="1">
      <c r="A206" s="298"/>
      <c r="B206" s="298"/>
      <c r="C206" s="298"/>
      <c r="D206" s="298"/>
      <c r="E206" s="298"/>
      <c r="F206" s="298"/>
      <c r="G206" s="298"/>
      <c r="H206" s="298"/>
      <c r="I206" s="298"/>
      <c r="J206" s="298"/>
      <c r="K206" s="298"/>
      <c r="L206" s="298"/>
      <c r="M206" s="298"/>
      <c r="N206" s="298"/>
      <c r="O206" s="298"/>
      <c r="P206" s="298"/>
      <c r="Q206" s="298"/>
      <c r="R206" s="298"/>
      <c r="S206" s="298"/>
      <c r="T206" s="298"/>
      <c r="U206" s="298"/>
      <c r="V206" s="298"/>
      <c r="W206" s="298"/>
      <c r="X206" s="298"/>
      <c r="Y206" s="298"/>
      <c r="Z206" s="298"/>
    </row>
    <row r="207" ht="15.75" customHeight="1">
      <c r="A207" s="298"/>
      <c r="B207" s="298"/>
      <c r="C207" s="298"/>
      <c r="D207" s="298"/>
      <c r="E207" s="298"/>
      <c r="F207" s="298"/>
      <c r="G207" s="298"/>
      <c r="H207" s="298"/>
      <c r="I207" s="298"/>
      <c r="J207" s="298"/>
      <c r="K207" s="298"/>
      <c r="L207" s="298"/>
      <c r="M207" s="298"/>
      <c r="N207" s="298"/>
      <c r="O207" s="298"/>
      <c r="P207" s="298"/>
      <c r="Q207" s="298"/>
      <c r="R207" s="298"/>
      <c r="S207" s="298"/>
      <c r="T207" s="298"/>
      <c r="U207" s="298"/>
      <c r="V207" s="298"/>
      <c r="W207" s="298"/>
      <c r="X207" s="298"/>
      <c r="Y207" s="298"/>
      <c r="Z207" s="298"/>
    </row>
    <row r="208" ht="15.75" customHeight="1">
      <c r="A208" s="298"/>
      <c r="B208" s="298"/>
      <c r="C208" s="298"/>
      <c r="D208" s="298"/>
      <c r="E208" s="298"/>
      <c r="F208" s="298"/>
      <c r="G208" s="298"/>
      <c r="H208" s="298"/>
      <c r="I208" s="298"/>
      <c r="J208" s="298"/>
      <c r="K208" s="298"/>
      <c r="L208" s="298"/>
      <c r="M208" s="298"/>
      <c r="N208" s="298"/>
      <c r="O208" s="298"/>
      <c r="P208" s="298"/>
      <c r="Q208" s="298"/>
      <c r="R208" s="298"/>
      <c r="S208" s="298"/>
      <c r="T208" s="298"/>
      <c r="U208" s="298"/>
      <c r="V208" s="298"/>
      <c r="W208" s="298"/>
      <c r="X208" s="298"/>
      <c r="Y208" s="298"/>
      <c r="Z208" s="298"/>
    </row>
    <row r="209" ht="15.75" customHeight="1">
      <c r="A209" s="298"/>
      <c r="B209" s="298"/>
      <c r="C209" s="298"/>
      <c r="D209" s="298"/>
      <c r="E209" s="298"/>
      <c r="F209" s="298"/>
      <c r="G209" s="298"/>
      <c r="H209" s="298"/>
      <c r="I209" s="298"/>
      <c r="J209" s="298"/>
      <c r="K209" s="298"/>
      <c r="L209" s="298"/>
      <c r="M209" s="298"/>
      <c r="N209" s="298"/>
      <c r="O209" s="298"/>
      <c r="P209" s="298"/>
      <c r="Q209" s="298"/>
      <c r="R209" s="298"/>
      <c r="S209" s="298"/>
      <c r="T209" s="298"/>
      <c r="U209" s="298"/>
      <c r="V209" s="298"/>
      <c r="W209" s="298"/>
      <c r="X209" s="298"/>
      <c r="Y209" s="298"/>
      <c r="Z209" s="298"/>
    </row>
    <row r="210" ht="15.75" customHeight="1">
      <c r="A210" s="298"/>
      <c r="B210" s="298"/>
      <c r="C210" s="298"/>
      <c r="D210" s="298"/>
      <c r="E210" s="298"/>
      <c r="F210" s="298"/>
      <c r="G210" s="298"/>
      <c r="H210" s="298"/>
      <c r="I210" s="298"/>
      <c r="J210" s="298"/>
      <c r="K210" s="298"/>
      <c r="L210" s="298"/>
      <c r="M210" s="298"/>
      <c r="N210" s="298"/>
      <c r="O210" s="298"/>
      <c r="P210" s="298"/>
      <c r="Q210" s="298"/>
      <c r="R210" s="298"/>
      <c r="S210" s="298"/>
      <c r="T210" s="298"/>
      <c r="U210" s="298"/>
      <c r="V210" s="298"/>
      <c r="W210" s="298"/>
      <c r="X210" s="298"/>
      <c r="Y210" s="298"/>
      <c r="Z210" s="298"/>
    </row>
    <row r="211" ht="15.75" customHeight="1">
      <c r="A211" s="298"/>
      <c r="B211" s="298"/>
      <c r="C211" s="298"/>
      <c r="D211" s="298"/>
      <c r="E211" s="298"/>
      <c r="F211" s="298"/>
      <c r="G211" s="298"/>
      <c r="H211" s="298"/>
      <c r="I211" s="298"/>
      <c r="J211" s="298"/>
      <c r="K211" s="298"/>
      <c r="L211" s="298"/>
      <c r="M211" s="298"/>
      <c r="N211" s="298"/>
      <c r="O211" s="298"/>
      <c r="P211" s="298"/>
      <c r="Q211" s="298"/>
      <c r="R211" s="298"/>
      <c r="S211" s="298"/>
      <c r="T211" s="298"/>
      <c r="U211" s="298"/>
      <c r="V211" s="298"/>
      <c r="W211" s="298"/>
      <c r="X211" s="298"/>
      <c r="Y211" s="298"/>
      <c r="Z211" s="298"/>
    </row>
    <row r="212" ht="15.75" customHeight="1">
      <c r="A212" s="298"/>
      <c r="B212" s="298"/>
      <c r="C212" s="298"/>
      <c r="D212" s="298"/>
      <c r="E212" s="298"/>
      <c r="F212" s="298"/>
      <c r="G212" s="298"/>
      <c r="H212" s="298"/>
      <c r="I212" s="298"/>
      <c r="J212" s="298"/>
      <c r="K212" s="298"/>
      <c r="L212" s="298"/>
      <c r="M212" s="298"/>
      <c r="N212" s="298"/>
      <c r="O212" s="298"/>
      <c r="P212" s="298"/>
      <c r="Q212" s="298"/>
      <c r="R212" s="298"/>
      <c r="S212" s="298"/>
      <c r="T212" s="298"/>
      <c r="U212" s="298"/>
      <c r="V212" s="298"/>
      <c r="W212" s="298"/>
      <c r="X212" s="298"/>
      <c r="Y212" s="298"/>
      <c r="Z212" s="298"/>
    </row>
    <row r="213" ht="15.75" customHeight="1">
      <c r="A213" s="298"/>
      <c r="B213" s="298"/>
      <c r="C213" s="298"/>
      <c r="D213" s="298"/>
      <c r="E213" s="298"/>
      <c r="F213" s="298"/>
      <c r="G213" s="298"/>
      <c r="H213" s="298"/>
      <c r="I213" s="298"/>
      <c r="J213" s="298"/>
      <c r="K213" s="298"/>
      <c r="L213" s="298"/>
      <c r="M213" s="298"/>
      <c r="N213" s="298"/>
      <c r="O213" s="298"/>
      <c r="P213" s="298"/>
      <c r="Q213" s="298"/>
      <c r="R213" s="298"/>
      <c r="S213" s="298"/>
      <c r="T213" s="298"/>
      <c r="U213" s="298"/>
      <c r="V213" s="298"/>
      <c r="W213" s="298"/>
      <c r="X213" s="298"/>
      <c r="Y213" s="298"/>
      <c r="Z213" s="298"/>
    </row>
    <row r="214" ht="15.75" customHeight="1">
      <c r="A214" s="298"/>
      <c r="B214" s="298"/>
      <c r="C214" s="298"/>
      <c r="D214" s="298"/>
      <c r="E214" s="298"/>
      <c r="F214" s="298"/>
      <c r="G214" s="298"/>
      <c r="H214" s="298"/>
      <c r="I214" s="298"/>
      <c r="J214" s="298"/>
      <c r="K214" s="298"/>
      <c r="L214" s="298"/>
      <c r="M214" s="298"/>
      <c r="N214" s="298"/>
      <c r="O214" s="298"/>
      <c r="P214" s="298"/>
      <c r="Q214" s="298"/>
      <c r="R214" s="298"/>
      <c r="S214" s="298"/>
      <c r="T214" s="298"/>
      <c r="U214" s="298"/>
      <c r="V214" s="298"/>
      <c r="W214" s="298"/>
      <c r="X214" s="298"/>
      <c r="Y214" s="298"/>
      <c r="Z214" s="298"/>
    </row>
    <row r="215" ht="15.75" customHeight="1">
      <c r="A215" s="298"/>
      <c r="B215" s="298"/>
      <c r="C215" s="298"/>
      <c r="D215" s="298"/>
      <c r="E215" s="298"/>
      <c r="F215" s="298"/>
      <c r="G215" s="298"/>
      <c r="H215" s="298"/>
      <c r="I215" s="298"/>
      <c r="J215" s="298"/>
      <c r="K215" s="298"/>
      <c r="L215" s="298"/>
      <c r="M215" s="298"/>
      <c r="N215" s="298"/>
      <c r="O215" s="298"/>
      <c r="P215" s="298"/>
      <c r="Q215" s="298"/>
      <c r="R215" s="298"/>
      <c r="S215" s="298"/>
      <c r="T215" s="298"/>
      <c r="U215" s="298"/>
      <c r="V215" s="298"/>
      <c r="W215" s="298"/>
      <c r="X215" s="298"/>
      <c r="Y215" s="298"/>
      <c r="Z215" s="298"/>
    </row>
    <row r="216" ht="15.75" customHeight="1">
      <c r="A216" s="298"/>
      <c r="B216" s="298"/>
      <c r="C216" s="298"/>
      <c r="D216" s="298"/>
      <c r="E216" s="298"/>
      <c r="F216" s="298"/>
      <c r="G216" s="298"/>
      <c r="H216" s="298"/>
      <c r="I216" s="298"/>
      <c r="J216" s="298"/>
      <c r="K216" s="298"/>
      <c r="L216" s="298"/>
      <c r="M216" s="298"/>
      <c r="N216" s="298"/>
      <c r="O216" s="298"/>
      <c r="P216" s="298"/>
      <c r="Q216" s="298"/>
      <c r="R216" s="298"/>
      <c r="S216" s="298"/>
      <c r="T216" s="298"/>
      <c r="U216" s="298"/>
      <c r="V216" s="298"/>
      <c r="W216" s="298"/>
      <c r="X216" s="298"/>
      <c r="Y216" s="298"/>
      <c r="Z216" s="298"/>
    </row>
    <row r="217" ht="15.75" customHeight="1">
      <c r="A217" s="298"/>
      <c r="B217" s="298"/>
      <c r="C217" s="298"/>
      <c r="D217" s="298"/>
      <c r="E217" s="298"/>
      <c r="F217" s="298"/>
      <c r="G217" s="298"/>
      <c r="H217" s="298"/>
      <c r="I217" s="298"/>
      <c r="J217" s="298"/>
      <c r="K217" s="298"/>
      <c r="L217" s="298"/>
      <c r="M217" s="298"/>
      <c r="N217" s="298"/>
      <c r="O217" s="298"/>
      <c r="P217" s="298"/>
      <c r="Q217" s="298"/>
      <c r="R217" s="298"/>
      <c r="S217" s="298"/>
      <c r="T217" s="298"/>
      <c r="U217" s="298"/>
      <c r="V217" s="298"/>
      <c r="W217" s="298"/>
      <c r="X217" s="298"/>
      <c r="Y217" s="298"/>
      <c r="Z217" s="298"/>
    </row>
    <row r="218" ht="15.75" customHeight="1">
      <c r="A218" s="298"/>
      <c r="B218" s="298"/>
      <c r="C218" s="298"/>
      <c r="D218" s="298"/>
      <c r="E218" s="298"/>
      <c r="F218" s="298"/>
      <c r="G218" s="298"/>
      <c r="H218" s="298"/>
      <c r="I218" s="298"/>
      <c r="J218" s="298"/>
      <c r="K218" s="298"/>
      <c r="L218" s="298"/>
      <c r="M218" s="298"/>
      <c r="N218" s="298"/>
      <c r="O218" s="298"/>
      <c r="P218" s="298"/>
      <c r="Q218" s="298"/>
      <c r="R218" s="298"/>
      <c r="S218" s="298"/>
      <c r="T218" s="298"/>
      <c r="U218" s="298"/>
      <c r="V218" s="298"/>
      <c r="W218" s="298"/>
      <c r="X218" s="298"/>
      <c r="Y218" s="298"/>
      <c r="Z218" s="298"/>
    </row>
    <row r="219" ht="15.75" customHeight="1">
      <c r="A219" s="298"/>
      <c r="B219" s="298"/>
      <c r="C219" s="298"/>
      <c r="D219" s="298"/>
      <c r="E219" s="298"/>
      <c r="F219" s="298"/>
      <c r="G219" s="298"/>
      <c r="H219" s="298"/>
      <c r="I219" s="298"/>
      <c r="J219" s="298"/>
      <c r="K219" s="298"/>
      <c r="L219" s="298"/>
      <c r="M219" s="298"/>
      <c r="N219" s="298"/>
      <c r="O219" s="298"/>
      <c r="P219" s="298"/>
      <c r="Q219" s="298"/>
      <c r="R219" s="298"/>
      <c r="S219" s="298"/>
      <c r="T219" s="298"/>
      <c r="U219" s="298"/>
      <c r="V219" s="298"/>
      <c r="W219" s="298"/>
      <c r="X219" s="298"/>
      <c r="Y219" s="298"/>
      <c r="Z219" s="298"/>
    </row>
    <row r="220" ht="15.75" customHeight="1">
      <c r="A220" s="298"/>
      <c r="B220" s="298"/>
      <c r="C220" s="298"/>
      <c r="D220" s="298"/>
      <c r="E220" s="298"/>
      <c r="F220" s="298"/>
      <c r="G220" s="298"/>
      <c r="H220" s="298"/>
      <c r="I220" s="298"/>
      <c r="J220" s="298"/>
      <c r="K220" s="298"/>
      <c r="L220" s="298"/>
      <c r="M220" s="298"/>
      <c r="N220" s="298"/>
      <c r="O220" s="298"/>
      <c r="P220" s="298"/>
      <c r="Q220" s="298"/>
      <c r="R220" s="298"/>
      <c r="S220" s="298"/>
      <c r="T220" s="298"/>
      <c r="U220" s="298"/>
      <c r="V220" s="298"/>
      <c r="W220" s="298"/>
      <c r="X220" s="298"/>
      <c r="Y220" s="298"/>
      <c r="Z220" s="29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F3:L3"/>
    <mergeCell ref="F4:K4"/>
    <mergeCell ref="F5:G5"/>
    <mergeCell ref="F6:J6"/>
    <mergeCell ref="F7:L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25"/>
    <col customWidth="1" min="2" max="3" width="14.13"/>
    <col customWidth="1" min="4" max="17" width="10.75"/>
    <col customWidth="1" min="18" max="18" width="7.75"/>
  </cols>
  <sheetData>
    <row r="1">
      <c r="A1" s="693"/>
      <c r="B1" s="693"/>
      <c r="C1" s="693"/>
      <c r="D1" s="694"/>
      <c r="E1" s="694"/>
      <c r="F1" s="694"/>
      <c r="G1" s="694"/>
      <c r="H1" s="694"/>
      <c r="I1" s="694"/>
      <c r="J1" s="694"/>
      <c r="K1" s="694"/>
      <c r="L1" s="694"/>
      <c r="M1" s="694"/>
      <c r="N1" s="694"/>
      <c r="O1" s="694"/>
      <c r="P1" s="694"/>
      <c r="Q1" s="694"/>
      <c r="R1" s="694"/>
      <c r="S1" s="693"/>
      <c r="T1" s="693"/>
      <c r="U1" s="693"/>
      <c r="V1" s="693"/>
      <c r="W1" s="693"/>
      <c r="X1" s="693"/>
      <c r="Y1" s="693"/>
      <c r="Z1" s="693"/>
    </row>
    <row r="2">
      <c r="A2" s="693"/>
      <c r="B2" s="693"/>
      <c r="C2" s="693"/>
      <c r="D2" s="694"/>
      <c r="E2" s="694"/>
      <c r="F2" s="694"/>
      <c r="G2" s="694"/>
      <c r="H2" s="694"/>
      <c r="I2" s="694"/>
      <c r="J2" s="694"/>
      <c r="K2" s="694"/>
      <c r="L2" s="694"/>
      <c r="M2" s="694"/>
      <c r="N2" s="694"/>
      <c r="O2" s="694"/>
      <c r="P2" s="694"/>
      <c r="Q2" s="694"/>
      <c r="R2" s="694"/>
      <c r="S2" s="693"/>
      <c r="T2" s="693"/>
      <c r="U2" s="693"/>
      <c r="V2" s="693"/>
      <c r="W2" s="693"/>
      <c r="X2" s="693"/>
      <c r="Y2" s="693"/>
      <c r="Z2" s="693"/>
    </row>
    <row r="3">
      <c r="A3" s="695" t="s">
        <v>336</v>
      </c>
      <c r="B3" s="695" t="s">
        <v>337</v>
      </c>
      <c r="C3" s="695" t="s">
        <v>338</v>
      </c>
      <c r="D3" s="696">
        <v>2025.0</v>
      </c>
      <c r="E3" s="696">
        <v>2026.0</v>
      </c>
      <c r="F3" s="696">
        <v>2027.0</v>
      </c>
      <c r="G3" s="696">
        <v>2028.0</v>
      </c>
      <c r="H3" s="696">
        <v>2029.0</v>
      </c>
      <c r="I3" s="696">
        <v>2030.0</v>
      </c>
      <c r="J3" s="696">
        <v>2031.0</v>
      </c>
      <c r="K3" s="696">
        <v>2032.0</v>
      </c>
      <c r="L3" s="696">
        <v>2033.0</v>
      </c>
      <c r="M3" s="696">
        <v>2034.0</v>
      </c>
      <c r="N3" s="696">
        <v>2035.0</v>
      </c>
      <c r="O3" s="696">
        <v>2036.0</v>
      </c>
      <c r="P3" s="696">
        <v>2037.0</v>
      </c>
      <c r="Q3" s="696">
        <v>2038.0</v>
      </c>
      <c r="R3" s="696">
        <v>2039.0</v>
      </c>
      <c r="S3" s="693"/>
      <c r="T3" s="693"/>
      <c r="U3" s="693"/>
      <c r="V3" s="693"/>
      <c r="W3" s="693"/>
      <c r="X3" s="693"/>
      <c r="Y3" s="693"/>
      <c r="Z3" s="693"/>
    </row>
    <row r="4">
      <c r="A4" s="694">
        <v>2025.0</v>
      </c>
      <c r="B4" s="697">
        <f>-Data_Input!R17</f>
        <v>10000000</v>
      </c>
      <c r="C4" s="694">
        <v>10.0</v>
      </c>
      <c r="D4" s="697">
        <f>IF(AND(D3&gt;=A4,D3&lt;A4+C4),B4/C4,0)</f>
        <v>1000000</v>
      </c>
      <c r="E4" s="697">
        <f>IF(AND(E3&gt;=A4,E3&lt;A4+C4),B4/C4,0)</f>
        <v>1000000</v>
      </c>
      <c r="F4" s="697">
        <f>IF(AND(F3&gt;=A4,F3&lt;A4+C4),B4/C4,0)</f>
        <v>1000000</v>
      </c>
      <c r="G4" s="697">
        <f>IF(AND(G3&gt;=A4,G3&lt;A4+C4),B4/C4,0)</f>
        <v>1000000</v>
      </c>
      <c r="H4" s="697">
        <f>IF(AND(H3&gt;=A4,H3&lt;A4+C4),B4/C4,0)</f>
        <v>1000000</v>
      </c>
      <c r="I4" s="697">
        <f>IF(AND(I3&gt;=A4,I3&lt;A4+C4),B4/C4,0)</f>
        <v>1000000</v>
      </c>
      <c r="J4" s="697">
        <f>IF(AND(J3&gt;=A4,J3&lt;A4+C4),B4/C4,0)</f>
        <v>1000000</v>
      </c>
      <c r="K4" s="697">
        <f>IF(AND(K3&gt;=A4,K3&lt;A4+C4),B4/C4,0)</f>
        <v>1000000</v>
      </c>
      <c r="L4" s="697">
        <f>IF(AND(L3&gt;=A4,L3&lt;A4+C4),B4/C4,0)</f>
        <v>1000000</v>
      </c>
      <c r="M4" s="697">
        <f>IF(AND(M3&gt;=A4,M3&lt;A4+C4),B4/C4,0)</f>
        <v>1000000</v>
      </c>
      <c r="N4" s="697">
        <f>IF(AND(N3&gt;=A4,N3&lt;A4+C4),B4/C4,0)</f>
        <v>0</v>
      </c>
      <c r="O4" s="697">
        <f>IF(AND(O3&gt;=A4,O3&lt;A4+C4),B4/C4,0)</f>
        <v>0</v>
      </c>
      <c r="P4" s="697">
        <f>IF(AND(P3&gt;=A4,P3&lt;A4+C4),B4/C4,0)</f>
        <v>0</v>
      </c>
      <c r="Q4" s="697">
        <f>IF(AND(Q3&gt;=A4,Q3&lt;A4+C4),B4/C4,0)</f>
        <v>0</v>
      </c>
      <c r="R4" s="697">
        <f>IF(AND(R3&gt;=A4,R3&lt;A4+C4),B4/C4,0)</f>
        <v>0</v>
      </c>
      <c r="S4" s="693"/>
      <c r="T4" s="693"/>
      <c r="U4" s="693"/>
      <c r="V4" s="693"/>
      <c r="W4" s="693"/>
      <c r="X4" s="693"/>
      <c r="Y4" s="693"/>
      <c r="Z4" s="693"/>
    </row>
    <row r="5">
      <c r="A5" s="694">
        <v>2026.0</v>
      </c>
      <c r="B5" s="697">
        <f>-Data_Input!S17</f>
        <v>10000000</v>
      </c>
      <c r="C5" s="694">
        <v>10.0</v>
      </c>
      <c r="D5" s="697">
        <f>IF(AND(D3&gt;=A5,D3&lt;A5+C5),B5/C5,0)</f>
        <v>0</v>
      </c>
      <c r="E5" s="697">
        <f>IF(AND(E3&gt;=A5,E3&lt;A5+C5),B5/C5,0)</f>
        <v>1000000</v>
      </c>
      <c r="F5" s="697">
        <f>IF(AND(F3&gt;=A5,F3&lt;A5+C5),B5/C5,0)</f>
        <v>1000000</v>
      </c>
      <c r="G5" s="697">
        <f>IF(AND(G3&gt;=A5,G3&lt;A5+C5),B5/C5,0)</f>
        <v>1000000</v>
      </c>
      <c r="H5" s="697">
        <f>IF(AND(H3&gt;=A5,H3&lt;A5+C5),B5/C5,0)</f>
        <v>1000000</v>
      </c>
      <c r="I5" s="697">
        <f>IF(AND(I3&gt;=A5,I3&lt;A5+C5),B5/C5,0)</f>
        <v>1000000</v>
      </c>
      <c r="J5" s="697">
        <f>IF(AND(J3&gt;=A5,J3&lt;A5+C5),B5/C5,0)</f>
        <v>1000000</v>
      </c>
      <c r="K5" s="697">
        <f>IF(AND(K3&gt;=A5,K3&lt;A5+C5),B5/C5,0)</f>
        <v>1000000</v>
      </c>
      <c r="L5" s="697">
        <f>IF(AND(L3&gt;=A5,L3&lt;A5+C5),B5/C5,0)</f>
        <v>1000000</v>
      </c>
      <c r="M5" s="697">
        <f>IF(AND(M3&gt;=A5,M3&lt;A5+C5),B5/C5,0)</f>
        <v>1000000</v>
      </c>
      <c r="N5" s="697">
        <f>IF(AND(N3&gt;=A5,N3&lt;A5+C5),B5/C5,0)</f>
        <v>1000000</v>
      </c>
      <c r="O5" s="697">
        <f>IF(AND(O3&gt;=A5,O3&lt;A5+C5),B5/C5,0)</f>
        <v>0</v>
      </c>
      <c r="P5" s="697">
        <f>IF(AND(P3&gt;=A5,P3&lt;A5+C5),B5/C5,0)</f>
        <v>0</v>
      </c>
      <c r="Q5" s="697">
        <f>IF(AND(Q3&gt;=A5,Q3&lt;A5+C5),B5/C5,0)</f>
        <v>0</v>
      </c>
      <c r="R5" s="697">
        <f>IF(AND(R3&gt;=A5,R3&lt;A5+C5),B5/C5,0)</f>
        <v>0</v>
      </c>
      <c r="S5" s="693"/>
      <c r="T5" s="693"/>
      <c r="U5" s="693"/>
      <c r="V5" s="693"/>
      <c r="W5" s="693"/>
      <c r="X5" s="693"/>
      <c r="Y5" s="693"/>
      <c r="Z5" s="693"/>
    </row>
    <row r="6">
      <c r="A6" s="694">
        <v>2027.0</v>
      </c>
      <c r="B6" s="697">
        <f>-Data_Input!T17</f>
        <v>10000000</v>
      </c>
      <c r="C6" s="698">
        <v>10.0</v>
      </c>
      <c r="D6" s="697">
        <f>IF(AND(D3&gt;=A6,D3&lt;A6+C6),B6/C6,0)</f>
        <v>0</v>
      </c>
      <c r="E6" s="697">
        <f>IF(AND(E3&gt;=A6,E3&lt;A6+C6),B6/C6,0)</f>
        <v>0</v>
      </c>
      <c r="F6" s="697">
        <f>IF(AND(F3&gt;=A6,F3&lt;A6+C6),B6/C6,0)</f>
        <v>1000000</v>
      </c>
      <c r="G6" s="697">
        <f>IF(AND(G3&gt;=A6,G3&lt;A6+C6),B6/C6,0)</f>
        <v>1000000</v>
      </c>
      <c r="H6" s="697">
        <f>IF(AND(H3&gt;=A6,H3&lt;A6+C6),B6/C6,0)</f>
        <v>1000000</v>
      </c>
      <c r="I6" s="697">
        <f>IF(AND(I3&gt;=A6,I3&lt;A6+C6),B6/C6,0)</f>
        <v>1000000</v>
      </c>
      <c r="J6" s="697">
        <f>IF(AND(J3&gt;=A6,J3&lt;A6+C6),B6/C6,0)</f>
        <v>1000000</v>
      </c>
      <c r="K6" s="697">
        <f>IF(AND(K3&gt;=A6,K3&lt;A6+C6),B6/C6,0)</f>
        <v>1000000</v>
      </c>
      <c r="L6" s="697">
        <f>IF(AND(L3&gt;=A6,L3&lt;A6+C6),B6/C6,0)</f>
        <v>1000000</v>
      </c>
      <c r="M6" s="697">
        <f>IF(AND(M3&gt;=A6,M3&lt;A6+C6),B6/C6,0)</f>
        <v>1000000</v>
      </c>
      <c r="N6" s="697">
        <f>IF(AND(N3&gt;=A6,N3&lt;A6+C6),B6/C6,0)</f>
        <v>1000000</v>
      </c>
      <c r="O6" s="697">
        <f>IF(AND(O3&gt;=A6,O3&lt;A6+C6),B6/C6,0)</f>
        <v>1000000</v>
      </c>
      <c r="P6" s="697">
        <f>IF(AND(P3&gt;=A6,P3&lt;A6+C6),B6/C6,0)</f>
        <v>0</v>
      </c>
      <c r="Q6" s="697">
        <f>IF(AND(Q3&gt;=A6,Q3&lt;A6+C6),B6/C6,0)</f>
        <v>0</v>
      </c>
      <c r="R6" s="697">
        <f>IF(AND(R3&gt;=A6,R3&lt;A6+C6),B6/C6,0)</f>
        <v>0</v>
      </c>
      <c r="S6" s="693"/>
      <c r="T6" s="693"/>
      <c r="U6" s="693"/>
      <c r="V6" s="693"/>
      <c r="W6" s="693"/>
      <c r="X6" s="693"/>
      <c r="Y6" s="693"/>
      <c r="Z6" s="693"/>
    </row>
    <row r="7">
      <c r="A7" s="694">
        <v>2028.0</v>
      </c>
      <c r="B7" s="697">
        <f>-Data_Input!U17</f>
        <v>10000000</v>
      </c>
      <c r="C7" s="694">
        <v>10.0</v>
      </c>
      <c r="D7" s="697">
        <f>IF(AND(D3&gt;=A7,D3&lt;A7+C7),B7/C7,0)</f>
        <v>0</v>
      </c>
      <c r="E7" s="697">
        <f>IF(AND(E3&gt;=A7,E3&lt;A7+C7),B7/C7,0)</f>
        <v>0</v>
      </c>
      <c r="F7" s="697">
        <f>IF(AND(F3&gt;=A7,F3&lt;A7+C7),B7/C7,0)</f>
        <v>0</v>
      </c>
      <c r="G7" s="697">
        <f>IF(AND(G3&gt;=A7,G3&lt;A7+C7),B7/C7,0)</f>
        <v>1000000</v>
      </c>
      <c r="H7" s="697">
        <f>IF(AND(H3&gt;=A7,H3&lt;A7+C7),B7/C7,0)</f>
        <v>1000000</v>
      </c>
      <c r="I7" s="697">
        <f>IF(AND(I3&gt;=A7,I3&lt;A7+C7),B7/C7,0)</f>
        <v>1000000</v>
      </c>
      <c r="J7" s="697">
        <f>IF(AND(J3&gt;=A7,J3&lt;A7+C7),B7/C7,0)</f>
        <v>1000000</v>
      </c>
      <c r="K7" s="697">
        <f>IF(AND(K3&gt;=A7,K3&lt;A7+C7),B7/C7,0)</f>
        <v>1000000</v>
      </c>
      <c r="L7" s="697">
        <f>IF(AND(L3&gt;=A7,L3&lt;A7+C7),B7/C7,0)</f>
        <v>1000000</v>
      </c>
      <c r="M7" s="697">
        <f>IF(AND(M3&gt;=A7,M3&lt;A7+C7),B7/C7,0)</f>
        <v>1000000</v>
      </c>
      <c r="N7" s="697">
        <f>IF(AND(N3&gt;=A7,N3&lt;A7+C7),B7/C7,0)</f>
        <v>1000000</v>
      </c>
      <c r="O7" s="697">
        <f>IF(AND(O3&gt;=A7,O3&lt;A7+C7),B7/C7,0)</f>
        <v>1000000</v>
      </c>
      <c r="P7" s="697">
        <f>IF(AND(P3&gt;=A7,P3&lt;A7+C7),B7/C7,0)</f>
        <v>1000000</v>
      </c>
      <c r="Q7" s="697">
        <f>IF(AND(Q3&gt;=A7,Q3&lt;A7+C7),B7/C7,0)</f>
        <v>0</v>
      </c>
      <c r="R7" s="697">
        <f>IF(AND(R3&gt;=A7,R3&lt;A7+C7),B7/C7,0)</f>
        <v>0</v>
      </c>
      <c r="S7" s="693"/>
      <c r="T7" s="693"/>
      <c r="U7" s="693"/>
      <c r="V7" s="693"/>
      <c r="W7" s="693"/>
      <c r="X7" s="693"/>
      <c r="Y7" s="693"/>
      <c r="Z7" s="693"/>
    </row>
    <row r="8">
      <c r="A8" s="694">
        <v>2029.0</v>
      </c>
      <c r="B8" s="697">
        <f>-Data_Input!V17</f>
        <v>10000000</v>
      </c>
      <c r="C8" s="694">
        <v>10.0</v>
      </c>
      <c r="D8" s="697">
        <f>IF(AND(D3&gt;=A8,D3&lt;A8+C8),B8/C8,0)</f>
        <v>0</v>
      </c>
      <c r="E8" s="697">
        <f>IF(AND(E3&gt;=A8,E3&lt;A8+C8),B8/C8,0)</f>
        <v>0</v>
      </c>
      <c r="F8" s="697">
        <f>IF(AND(F3&gt;=A8,F3&lt;A8+C8),B8/C8,0)</f>
        <v>0</v>
      </c>
      <c r="G8" s="697">
        <f>IF(AND(G3&gt;=A8,G3&lt;A8+C8),B8/C8,0)</f>
        <v>0</v>
      </c>
      <c r="H8" s="697">
        <f>IF(AND(H3&gt;=A8,H3&lt;A8+C8),B8/C8,0)</f>
        <v>1000000</v>
      </c>
      <c r="I8" s="697">
        <f>IF(AND(I3&gt;=A8,I3&lt;A8+C8),B8/C8,0)</f>
        <v>1000000</v>
      </c>
      <c r="J8" s="697">
        <f>IF(AND(J3&gt;=A8,J3&lt;A8+C8),B8/C8,0)</f>
        <v>1000000</v>
      </c>
      <c r="K8" s="697">
        <f>IF(AND(K3&gt;=A8,K3&lt;A8+C8),B8/C8,0)</f>
        <v>1000000</v>
      </c>
      <c r="L8" s="697">
        <f>IF(AND(L3&gt;=A8,L3&lt;A8+C8),B8/C8,0)</f>
        <v>1000000</v>
      </c>
      <c r="M8" s="697">
        <f>IF(AND(M3&gt;=A8,M3&lt;A8+C8),B8/C8,0)</f>
        <v>1000000</v>
      </c>
      <c r="N8" s="697">
        <f>IF(AND(N3&gt;=A8,N3&lt;A8+C8),B8/C8,0)</f>
        <v>1000000</v>
      </c>
      <c r="O8" s="697">
        <f>IF(AND(O3&gt;=A8,O3&lt;A8+C8),B8/C8,0)</f>
        <v>1000000</v>
      </c>
      <c r="P8" s="697">
        <f>IF(AND(P3&gt;=A8,P3&lt;A8+C8),B8/C8,0)</f>
        <v>1000000</v>
      </c>
      <c r="Q8" s="697">
        <f>IF(AND(Q3&gt;=A8,Q3&lt;A8+C8),B8/C8,0)</f>
        <v>1000000</v>
      </c>
      <c r="R8" s="697">
        <f>IF(AND(R3&gt;=A8,R3&lt;A8+C8),B8/C8,0)</f>
        <v>0</v>
      </c>
      <c r="S8" s="699"/>
      <c r="T8" s="693"/>
      <c r="U8" s="693"/>
      <c r="V8" s="693"/>
      <c r="W8" s="693"/>
      <c r="X8" s="693"/>
      <c r="Y8" s="693"/>
      <c r="Z8" s="693"/>
    </row>
    <row r="9">
      <c r="A9" s="700" t="s">
        <v>339</v>
      </c>
      <c r="B9" s="701"/>
      <c r="C9" s="700"/>
      <c r="D9" s="702">
        <f t="shared" ref="D9:R9" si="1">SUM(D4:D8)</f>
        <v>1000000</v>
      </c>
      <c r="E9" s="702">
        <f t="shared" si="1"/>
        <v>2000000</v>
      </c>
      <c r="F9" s="702">
        <f t="shared" si="1"/>
        <v>3000000</v>
      </c>
      <c r="G9" s="702">
        <f t="shared" si="1"/>
        <v>4000000</v>
      </c>
      <c r="H9" s="702">
        <f t="shared" si="1"/>
        <v>5000000</v>
      </c>
      <c r="I9" s="702">
        <f t="shared" si="1"/>
        <v>5000000</v>
      </c>
      <c r="J9" s="702">
        <f t="shared" si="1"/>
        <v>5000000</v>
      </c>
      <c r="K9" s="702">
        <f t="shared" si="1"/>
        <v>5000000</v>
      </c>
      <c r="L9" s="702">
        <f t="shared" si="1"/>
        <v>5000000</v>
      </c>
      <c r="M9" s="702">
        <f t="shared" si="1"/>
        <v>5000000</v>
      </c>
      <c r="N9" s="702">
        <f t="shared" si="1"/>
        <v>4000000</v>
      </c>
      <c r="O9" s="702">
        <f t="shared" si="1"/>
        <v>3000000</v>
      </c>
      <c r="P9" s="702">
        <f t="shared" si="1"/>
        <v>2000000</v>
      </c>
      <c r="Q9" s="702">
        <f t="shared" si="1"/>
        <v>1000000</v>
      </c>
      <c r="R9" s="702">
        <f t="shared" si="1"/>
        <v>0</v>
      </c>
      <c r="S9" s="699"/>
      <c r="T9" s="693"/>
      <c r="U9" s="693"/>
      <c r="V9" s="693"/>
      <c r="W9" s="693"/>
      <c r="X9" s="693"/>
      <c r="Y9" s="693"/>
      <c r="Z9" s="693"/>
    </row>
    <row r="10">
      <c r="A10" s="693"/>
      <c r="B10" s="703"/>
      <c r="C10" s="693"/>
      <c r="D10" s="703"/>
      <c r="E10" s="703"/>
      <c r="F10" s="703"/>
      <c r="G10" s="703"/>
      <c r="H10" s="703"/>
      <c r="I10" s="703"/>
      <c r="J10" s="703"/>
      <c r="K10" s="703"/>
      <c r="L10" s="703"/>
      <c r="M10" s="703"/>
      <c r="N10" s="703"/>
      <c r="O10" s="703"/>
      <c r="P10" s="703"/>
      <c r="Q10" s="703"/>
      <c r="R10" s="703"/>
      <c r="S10" s="699"/>
      <c r="T10" s="693"/>
      <c r="U10" s="693"/>
      <c r="V10" s="693"/>
      <c r="W10" s="693"/>
      <c r="X10" s="693"/>
      <c r="Y10" s="693"/>
      <c r="Z10" s="693"/>
    </row>
    <row r="11">
      <c r="A11" s="693"/>
      <c r="B11" s="703"/>
      <c r="C11" s="693"/>
      <c r="D11" s="703"/>
      <c r="E11" s="703"/>
      <c r="F11" s="703"/>
      <c r="G11" s="703"/>
      <c r="H11" s="703"/>
      <c r="I11" s="703"/>
      <c r="J11" s="703"/>
      <c r="K11" s="703"/>
      <c r="L11" s="703"/>
      <c r="M11" s="703"/>
      <c r="N11" s="703"/>
      <c r="O11" s="703"/>
      <c r="P11" s="703"/>
      <c r="Q11" s="703"/>
      <c r="R11" s="703"/>
      <c r="S11" s="699"/>
      <c r="T11" s="693"/>
      <c r="U11" s="693"/>
      <c r="V11" s="693"/>
      <c r="W11" s="693"/>
      <c r="X11" s="693"/>
      <c r="Y11" s="693"/>
      <c r="Z11" s="693"/>
    </row>
    <row r="12">
      <c r="A12" s="693"/>
      <c r="B12" s="703"/>
      <c r="C12" s="693"/>
      <c r="D12" s="703"/>
      <c r="E12" s="703"/>
      <c r="F12" s="703"/>
      <c r="G12" s="703"/>
      <c r="H12" s="703"/>
      <c r="I12" s="703"/>
      <c r="J12" s="703"/>
      <c r="K12" s="703"/>
      <c r="L12" s="703"/>
      <c r="M12" s="703"/>
      <c r="N12" s="703"/>
      <c r="O12" s="703"/>
      <c r="P12" s="703"/>
      <c r="Q12" s="703"/>
      <c r="R12" s="703"/>
      <c r="S12" s="699"/>
      <c r="T12" s="693"/>
      <c r="U12" s="693"/>
      <c r="V12" s="693"/>
      <c r="W12" s="693"/>
      <c r="X12" s="693"/>
      <c r="Y12" s="693"/>
      <c r="Z12" s="693"/>
    </row>
    <row r="13">
      <c r="A13" s="693"/>
      <c r="B13" s="703"/>
      <c r="C13" s="693"/>
      <c r="D13" s="703"/>
      <c r="E13" s="693"/>
      <c r="F13" s="693"/>
      <c r="G13" s="693"/>
      <c r="H13" s="693"/>
      <c r="I13" s="693"/>
      <c r="J13" s="693"/>
      <c r="K13" s="693"/>
      <c r="L13" s="693"/>
      <c r="M13" s="693"/>
      <c r="N13" s="693"/>
      <c r="O13" s="693"/>
      <c r="P13" s="693"/>
      <c r="Q13" s="693"/>
      <c r="R13" s="693"/>
      <c r="S13" s="699"/>
      <c r="T13" s="693"/>
      <c r="U13" s="693"/>
      <c r="V13" s="693"/>
      <c r="W13" s="693"/>
      <c r="X13" s="693"/>
      <c r="Y13" s="693"/>
      <c r="Z13" s="693"/>
    </row>
    <row r="14">
      <c r="A14" s="693"/>
      <c r="B14" s="703"/>
      <c r="C14" s="693"/>
      <c r="D14" s="703"/>
      <c r="E14" s="693"/>
      <c r="F14" s="693"/>
      <c r="G14" s="693"/>
      <c r="H14" s="693"/>
      <c r="I14" s="693"/>
      <c r="J14" s="693"/>
      <c r="K14" s="693"/>
      <c r="L14" s="693"/>
      <c r="M14" s="693"/>
      <c r="N14" s="693"/>
      <c r="O14" s="693"/>
      <c r="P14" s="693"/>
      <c r="Q14" s="693"/>
      <c r="R14" s="693"/>
      <c r="S14" s="699"/>
      <c r="T14" s="693"/>
      <c r="U14" s="693"/>
      <c r="V14" s="693"/>
      <c r="W14" s="693"/>
      <c r="X14" s="693"/>
      <c r="Y14" s="693"/>
      <c r="Z14" s="693"/>
    </row>
    <row r="15">
      <c r="A15" s="693"/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693"/>
      <c r="O15" s="693"/>
      <c r="P15" s="693"/>
      <c r="Q15" s="693"/>
      <c r="R15" s="693"/>
      <c r="S15" s="699"/>
      <c r="T15" s="693"/>
      <c r="U15" s="693"/>
      <c r="V15" s="693"/>
      <c r="W15" s="693"/>
      <c r="X15" s="693"/>
      <c r="Y15" s="693"/>
      <c r="Z15" s="693"/>
    </row>
    <row r="16">
      <c r="A16" s="693"/>
      <c r="B16" s="693"/>
      <c r="C16" s="693"/>
      <c r="D16" s="693"/>
      <c r="E16" s="693"/>
      <c r="F16" s="693"/>
      <c r="G16" s="693"/>
      <c r="H16" s="693"/>
      <c r="I16" s="693"/>
      <c r="J16" s="693"/>
      <c r="K16" s="693"/>
      <c r="L16" s="693"/>
      <c r="M16" s="693"/>
      <c r="N16" s="693"/>
      <c r="O16" s="699"/>
      <c r="P16" s="699"/>
      <c r="Q16" s="699"/>
      <c r="R16" s="699"/>
      <c r="S16" s="693"/>
      <c r="T16" s="693"/>
      <c r="U16" s="693"/>
      <c r="V16" s="693"/>
      <c r="W16" s="693"/>
      <c r="X16" s="693"/>
      <c r="Y16" s="693"/>
      <c r="Z16" s="693"/>
    </row>
    <row r="17">
      <c r="A17" s="693"/>
      <c r="B17" s="693"/>
      <c r="C17" s="693"/>
      <c r="D17" s="693"/>
      <c r="E17" s="693"/>
      <c r="F17" s="693"/>
      <c r="G17" s="693"/>
      <c r="H17" s="693"/>
      <c r="I17" s="693"/>
      <c r="J17" s="693"/>
      <c r="K17" s="693"/>
      <c r="L17" s="693"/>
      <c r="M17" s="693"/>
      <c r="N17" s="693"/>
      <c r="O17" s="699"/>
      <c r="P17" s="699"/>
      <c r="Q17" s="699"/>
      <c r="R17" s="699"/>
      <c r="S17" s="693"/>
      <c r="T17" s="693"/>
      <c r="U17" s="693"/>
      <c r="V17" s="693"/>
      <c r="W17" s="693"/>
      <c r="X17" s="693"/>
      <c r="Y17" s="693"/>
      <c r="Z17" s="693"/>
    </row>
    <row r="18">
      <c r="A18" s="693"/>
      <c r="B18" s="693"/>
      <c r="C18" s="699"/>
      <c r="D18" s="699"/>
      <c r="E18" s="699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699"/>
      <c r="Q18" s="699"/>
      <c r="R18" s="699"/>
      <c r="S18" s="693"/>
      <c r="T18" s="693"/>
      <c r="U18" s="693"/>
      <c r="V18" s="693"/>
      <c r="W18" s="693"/>
      <c r="X18" s="693"/>
      <c r="Y18" s="693"/>
      <c r="Z18" s="693"/>
    </row>
    <row r="19">
      <c r="A19" s="693"/>
      <c r="B19" s="693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699"/>
      <c r="P19" s="699"/>
      <c r="Q19" s="699"/>
      <c r="R19" s="699"/>
      <c r="S19" s="693"/>
      <c r="T19" s="693"/>
      <c r="U19" s="693"/>
      <c r="V19" s="693"/>
      <c r="W19" s="693"/>
      <c r="X19" s="693"/>
      <c r="Y19" s="693"/>
      <c r="Z19" s="693"/>
    </row>
    <row r="20">
      <c r="A20" s="693"/>
      <c r="B20" s="693"/>
      <c r="C20" s="699"/>
      <c r="D20" s="699"/>
      <c r="E20" s="699"/>
      <c r="F20" s="699"/>
      <c r="G20" s="699"/>
      <c r="H20" s="699"/>
      <c r="I20" s="699"/>
      <c r="J20" s="699"/>
      <c r="K20" s="699"/>
      <c r="L20" s="699"/>
      <c r="M20" s="699"/>
      <c r="N20" s="699"/>
      <c r="O20" s="699"/>
      <c r="P20" s="699"/>
      <c r="Q20" s="699"/>
      <c r="R20" s="699"/>
      <c r="S20" s="693"/>
      <c r="T20" s="693"/>
      <c r="U20" s="693"/>
      <c r="V20" s="693"/>
      <c r="W20" s="693"/>
      <c r="X20" s="693"/>
      <c r="Y20" s="693"/>
      <c r="Z20" s="693"/>
    </row>
    <row r="21" ht="15.75" customHeight="1">
      <c r="A21" s="693"/>
      <c r="B21" s="693"/>
      <c r="C21" s="699"/>
      <c r="D21" s="699"/>
      <c r="E21" s="699"/>
      <c r="F21" s="699"/>
      <c r="G21" s="699"/>
      <c r="H21" s="699"/>
      <c r="I21" s="699"/>
      <c r="J21" s="699"/>
      <c r="K21" s="699"/>
      <c r="L21" s="699"/>
      <c r="M21" s="699"/>
      <c r="N21" s="699"/>
      <c r="O21" s="699"/>
      <c r="P21" s="699"/>
      <c r="Q21" s="699"/>
      <c r="R21" s="699"/>
      <c r="S21" s="693"/>
      <c r="T21" s="693"/>
      <c r="U21" s="693"/>
      <c r="V21" s="693"/>
      <c r="W21" s="693"/>
      <c r="X21" s="693"/>
      <c r="Y21" s="693"/>
      <c r="Z21" s="693"/>
    </row>
    <row r="22" ht="15.75" customHeight="1">
      <c r="A22" s="693"/>
      <c r="B22" s="693"/>
      <c r="C22" s="699"/>
      <c r="D22" s="699"/>
      <c r="E22" s="699"/>
      <c r="F22" s="699"/>
      <c r="G22" s="699"/>
      <c r="H22" s="699"/>
      <c r="I22" s="699"/>
      <c r="J22" s="699"/>
      <c r="K22" s="699"/>
      <c r="L22" s="699"/>
      <c r="M22" s="699"/>
      <c r="N22" s="699"/>
      <c r="O22" s="699"/>
      <c r="P22" s="699"/>
      <c r="Q22" s="699"/>
      <c r="R22" s="699"/>
      <c r="S22" s="693"/>
      <c r="T22" s="693"/>
      <c r="U22" s="693"/>
      <c r="V22" s="693"/>
      <c r="W22" s="693"/>
      <c r="X22" s="693"/>
      <c r="Y22" s="693"/>
      <c r="Z22" s="693"/>
    </row>
    <row r="23" ht="15.75" customHeight="1">
      <c r="A23" s="693"/>
      <c r="B23" s="699"/>
      <c r="C23" s="699"/>
      <c r="D23" s="699"/>
      <c r="E23" s="699"/>
      <c r="F23" s="699"/>
      <c r="G23" s="699"/>
      <c r="H23" s="699"/>
      <c r="I23" s="699"/>
      <c r="J23" s="699"/>
      <c r="K23" s="699"/>
      <c r="L23" s="699"/>
      <c r="M23" s="699"/>
      <c r="N23" s="699"/>
      <c r="O23" s="699"/>
      <c r="P23" s="699"/>
      <c r="Q23" s="699"/>
      <c r="R23" s="699"/>
      <c r="S23" s="693"/>
      <c r="T23" s="693"/>
      <c r="U23" s="693"/>
      <c r="V23" s="693"/>
      <c r="W23" s="693"/>
      <c r="X23" s="693"/>
      <c r="Y23" s="693"/>
      <c r="Z23" s="693"/>
    </row>
    <row r="24" ht="15.75" customHeight="1">
      <c r="A24" s="693"/>
      <c r="B24" s="699"/>
      <c r="C24" s="699"/>
      <c r="D24" s="699"/>
      <c r="E24" s="699"/>
      <c r="F24" s="699"/>
      <c r="G24" s="699"/>
      <c r="H24" s="699"/>
      <c r="I24" s="699"/>
      <c r="J24" s="699"/>
      <c r="K24" s="699"/>
      <c r="L24" s="699"/>
      <c r="M24" s="699"/>
      <c r="N24" s="699"/>
      <c r="O24" s="699"/>
      <c r="P24" s="699"/>
      <c r="Q24" s="699"/>
      <c r="R24" s="699"/>
      <c r="S24" s="693"/>
      <c r="T24" s="693"/>
      <c r="U24" s="693"/>
      <c r="V24" s="693"/>
      <c r="W24" s="693"/>
      <c r="X24" s="693"/>
      <c r="Y24" s="693"/>
      <c r="Z24" s="693"/>
    </row>
    <row r="25" ht="15.75" customHeight="1">
      <c r="A25" s="693"/>
      <c r="B25" s="699"/>
      <c r="C25" s="699"/>
      <c r="D25" s="699"/>
      <c r="E25" s="699"/>
      <c r="F25" s="699"/>
      <c r="G25" s="699"/>
      <c r="H25" s="699"/>
      <c r="I25" s="699"/>
      <c r="J25" s="699"/>
      <c r="K25" s="699"/>
      <c r="L25" s="699"/>
      <c r="M25" s="699"/>
      <c r="N25" s="699"/>
      <c r="O25" s="699"/>
      <c r="P25" s="699"/>
      <c r="Q25" s="699"/>
      <c r="R25" s="699"/>
      <c r="S25" s="693"/>
      <c r="T25" s="693"/>
      <c r="U25" s="693"/>
      <c r="V25" s="693"/>
      <c r="W25" s="693"/>
      <c r="X25" s="693"/>
      <c r="Y25" s="693"/>
      <c r="Z25" s="693"/>
    </row>
    <row r="26" ht="15.75" customHeight="1">
      <c r="A26" s="693"/>
      <c r="B26" s="693"/>
      <c r="C26" s="693"/>
      <c r="D26" s="693"/>
      <c r="E26" s="693"/>
      <c r="F26" s="693"/>
      <c r="G26" s="693"/>
      <c r="H26" s="693"/>
      <c r="I26" s="693"/>
      <c r="J26" s="693"/>
      <c r="K26" s="693"/>
      <c r="L26" s="693"/>
      <c r="M26" s="693"/>
      <c r="N26" s="693"/>
      <c r="O26" s="693"/>
      <c r="P26" s="693"/>
      <c r="Q26" s="693"/>
      <c r="R26" s="693"/>
      <c r="S26" s="693"/>
      <c r="T26" s="693"/>
      <c r="U26" s="693"/>
      <c r="V26" s="693"/>
      <c r="W26" s="693"/>
      <c r="X26" s="693"/>
      <c r="Y26" s="693"/>
      <c r="Z26" s="693"/>
    </row>
    <row r="27" ht="15.75" customHeight="1">
      <c r="A27" s="693"/>
      <c r="B27" s="693"/>
      <c r="C27" s="693"/>
      <c r="D27" s="693"/>
      <c r="E27" s="693"/>
      <c r="F27" s="693"/>
      <c r="G27" s="693"/>
      <c r="H27" s="693"/>
      <c r="I27" s="693"/>
      <c r="J27" s="693"/>
      <c r="K27" s="693"/>
      <c r="L27" s="693"/>
      <c r="M27" s="693"/>
      <c r="N27" s="693"/>
      <c r="O27" s="693"/>
      <c r="P27" s="693"/>
      <c r="Q27" s="693"/>
      <c r="R27" s="693"/>
      <c r="S27" s="693"/>
      <c r="T27" s="693"/>
      <c r="U27" s="693"/>
      <c r="V27" s="693"/>
      <c r="W27" s="693"/>
      <c r="X27" s="693"/>
      <c r="Y27" s="693"/>
      <c r="Z27" s="693"/>
    </row>
    <row r="28" ht="15.75" customHeight="1">
      <c r="A28" s="693"/>
      <c r="B28" s="693"/>
      <c r="C28" s="693"/>
      <c r="D28" s="693"/>
      <c r="E28" s="693"/>
      <c r="F28" s="693"/>
      <c r="G28" s="693"/>
      <c r="H28" s="693"/>
      <c r="I28" s="693"/>
      <c r="J28" s="693"/>
      <c r="K28" s="693"/>
      <c r="L28" s="693"/>
      <c r="M28" s="693"/>
      <c r="N28" s="693"/>
      <c r="O28" s="693"/>
      <c r="P28" s="693"/>
      <c r="Q28" s="693"/>
      <c r="R28" s="693"/>
      <c r="S28" s="693"/>
      <c r="T28" s="693"/>
      <c r="U28" s="693"/>
      <c r="V28" s="693"/>
      <c r="W28" s="693"/>
      <c r="X28" s="693"/>
      <c r="Y28" s="693"/>
      <c r="Z28" s="693"/>
    </row>
    <row r="29" ht="15.75" customHeight="1">
      <c r="A29" s="693"/>
      <c r="B29" s="693"/>
      <c r="C29" s="693"/>
      <c r="D29" s="693"/>
      <c r="E29" s="693"/>
      <c r="F29" s="693"/>
      <c r="G29" s="693"/>
      <c r="H29" s="693"/>
      <c r="I29" s="693"/>
      <c r="J29" s="693"/>
      <c r="K29" s="693"/>
      <c r="L29" s="693"/>
      <c r="M29" s="693"/>
      <c r="N29" s="693"/>
      <c r="O29" s="693"/>
      <c r="P29" s="693"/>
      <c r="Q29" s="693"/>
      <c r="R29" s="693"/>
      <c r="S29" s="693"/>
      <c r="T29" s="693"/>
      <c r="U29" s="693"/>
      <c r="V29" s="693"/>
      <c r="W29" s="693"/>
      <c r="X29" s="693"/>
      <c r="Y29" s="693"/>
      <c r="Z29" s="693"/>
    </row>
    <row r="30" ht="15.75" customHeight="1">
      <c r="A30" s="693"/>
      <c r="B30" s="693"/>
      <c r="C30" s="693"/>
      <c r="D30" s="693"/>
      <c r="E30" s="693"/>
      <c r="F30" s="693"/>
      <c r="G30" s="693"/>
      <c r="H30" s="693"/>
      <c r="I30" s="693"/>
      <c r="J30" s="693"/>
      <c r="K30" s="693"/>
      <c r="L30" s="693"/>
      <c r="M30" s="693"/>
      <c r="N30" s="693"/>
      <c r="O30" s="693"/>
      <c r="P30" s="693"/>
      <c r="Q30" s="693"/>
      <c r="R30" s="693"/>
      <c r="S30" s="693"/>
      <c r="T30" s="693"/>
      <c r="U30" s="693"/>
      <c r="V30" s="693"/>
      <c r="W30" s="693"/>
      <c r="X30" s="693"/>
      <c r="Y30" s="693"/>
      <c r="Z30" s="693"/>
    </row>
    <row r="31" ht="15.75" customHeight="1">
      <c r="A31" s="693"/>
      <c r="B31" s="693"/>
      <c r="C31" s="693"/>
      <c r="D31" s="693"/>
      <c r="E31" s="693"/>
      <c r="F31" s="693"/>
      <c r="G31" s="693"/>
      <c r="H31" s="693"/>
      <c r="I31" s="693"/>
      <c r="J31" s="693"/>
      <c r="K31" s="693"/>
      <c r="L31" s="693"/>
      <c r="M31" s="693"/>
      <c r="N31" s="693"/>
      <c r="O31" s="693"/>
      <c r="P31" s="693"/>
      <c r="Q31" s="693"/>
      <c r="R31" s="693"/>
      <c r="S31" s="693"/>
      <c r="T31" s="693"/>
      <c r="U31" s="693"/>
      <c r="V31" s="693"/>
      <c r="W31" s="693"/>
      <c r="X31" s="693"/>
      <c r="Y31" s="693"/>
      <c r="Z31" s="693"/>
    </row>
    <row r="32" ht="15.75" customHeight="1">
      <c r="A32" s="693"/>
      <c r="B32" s="693"/>
      <c r="C32" s="693"/>
      <c r="D32" s="693"/>
      <c r="E32" s="693"/>
      <c r="F32" s="693"/>
      <c r="G32" s="693"/>
      <c r="H32" s="693"/>
      <c r="I32" s="693"/>
      <c r="J32" s="693"/>
      <c r="K32" s="693"/>
      <c r="L32" s="693"/>
      <c r="M32" s="693"/>
      <c r="N32" s="693"/>
      <c r="O32" s="693"/>
      <c r="P32" s="693"/>
      <c r="Q32" s="693"/>
      <c r="R32" s="693"/>
      <c r="S32" s="693"/>
      <c r="T32" s="693"/>
      <c r="U32" s="693"/>
      <c r="V32" s="693"/>
      <c r="W32" s="693"/>
      <c r="X32" s="693"/>
      <c r="Y32" s="693"/>
      <c r="Z32" s="693"/>
    </row>
    <row r="33" ht="15.75" customHeight="1">
      <c r="A33" s="693"/>
      <c r="B33" s="693"/>
      <c r="C33" s="693"/>
      <c r="D33" s="693"/>
      <c r="E33" s="693"/>
      <c r="F33" s="693"/>
      <c r="G33" s="693"/>
      <c r="H33" s="693"/>
      <c r="I33" s="693"/>
      <c r="J33" s="693"/>
      <c r="K33" s="693"/>
      <c r="L33" s="693"/>
      <c r="M33" s="693"/>
      <c r="N33" s="693"/>
      <c r="O33" s="693"/>
      <c r="P33" s="693"/>
      <c r="Q33" s="693"/>
      <c r="R33" s="693"/>
      <c r="S33" s="693"/>
      <c r="T33" s="693"/>
      <c r="U33" s="693"/>
      <c r="V33" s="693"/>
      <c r="W33" s="693"/>
      <c r="X33" s="693"/>
      <c r="Y33" s="693"/>
      <c r="Z33" s="693"/>
    </row>
    <row r="34" ht="15.75" customHeight="1">
      <c r="A34" s="693"/>
      <c r="B34" s="693"/>
      <c r="C34" s="693"/>
      <c r="D34" s="693"/>
      <c r="E34" s="693"/>
      <c r="F34" s="693"/>
      <c r="G34" s="693"/>
      <c r="H34" s="693"/>
      <c r="I34" s="693"/>
      <c r="J34" s="693"/>
      <c r="K34" s="693"/>
      <c r="L34" s="693"/>
      <c r="M34" s="693"/>
      <c r="N34" s="693"/>
      <c r="O34" s="693"/>
      <c r="P34" s="693"/>
      <c r="Q34" s="693"/>
      <c r="R34" s="693"/>
      <c r="S34" s="693"/>
      <c r="T34" s="693"/>
      <c r="U34" s="693"/>
      <c r="V34" s="693"/>
      <c r="W34" s="693"/>
      <c r="X34" s="693"/>
      <c r="Y34" s="693"/>
      <c r="Z34" s="693"/>
    </row>
    <row r="35" ht="15.75" customHeight="1">
      <c r="A35" s="693"/>
      <c r="B35" s="693"/>
      <c r="C35" s="693"/>
      <c r="D35" s="693"/>
      <c r="E35" s="693"/>
      <c r="F35" s="693"/>
      <c r="G35" s="693"/>
      <c r="H35" s="693"/>
      <c r="I35" s="693"/>
      <c r="J35" s="693"/>
      <c r="K35" s="693"/>
      <c r="L35" s="693"/>
      <c r="M35" s="693"/>
      <c r="N35" s="693"/>
      <c r="O35" s="693"/>
      <c r="P35" s="693"/>
      <c r="Q35" s="693"/>
      <c r="R35" s="693"/>
      <c r="S35" s="693"/>
      <c r="T35" s="693"/>
      <c r="U35" s="693"/>
      <c r="V35" s="693"/>
      <c r="W35" s="693"/>
      <c r="X35" s="693"/>
      <c r="Y35" s="693"/>
      <c r="Z35" s="693"/>
    </row>
    <row r="36" ht="15.75" customHeight="1">
      <c r="A36" s="693"/>
      <c r="B36" s="693"/>
      <c r="C36" s="693"/>
      <c r="D36" s="693"/>
      <c r="E36" s="693"/>
      <c r="F36" s="693"/>
      <c r="G36" s="693"/>
      <c r="H36" s="693"/>
      <c r="I36" s="693"/>
      <c r="J36" s="693"/>
      <c r="K36" s="693"/>
      <c r="L36" s="693"/>
      <c r="M36" s="693"/>
      <c r="N36" s="693"/>
      <c r="O36" s="693"/>
      <c r="P36" s="693"/>
      <c r="Q36" s="693"/>
      <c r="R36" s="693"/>
      <c r="S36" s="693"/>
      <c r="T36" s="693"/>
      <c r="U36" s="693"/>
      <c r="V36" s="693"/>
      <c r="W36" s="693"/>
      <c r="X36" s="693"/>
      <c r="Y36" s="693"/>
      <c r="Z36" s="693"/>
    </row>
    <row r="37" ht="15.75" customHeight="1">
      <c r="A37" s="693"/>
      <c r="B37" s="693"/>
      <c r="C37" s="693"/>
      <c r="D37" s="693"/>
      <c r="E37" s="693"/>
      <c r="F37" s="693"/>
      <c r="G37" s="693"/>
      <c r="H37" s="693"/>
      <c r="I37" s="693"/>
      <c r="J37" s="693"/>
      <c r="K37" s="693"/>
      <c r="L37" s="693"/>
      <c r="M37" s="693"/>
      <c r="N37" s="693"/>
      <c r="O37" s="693"/>
      <c r="P37" s="693"/>
      <c r="Q37" s="693"/>
      <c r="R37" s="693"/>
      <c r="S37" s="693"/>
      <c r="T37" s="693"/>
      <c r="U37" s="693"/>
      <c r="V37" s="693"/>
      <c r="W37" s="693"/>
      <c r="X37" s="693"/>
      <c r="Y37" s="693"/>
      <c r="Z37" s="693"/>
    </row>
    <row r="38" ht="15.75" customHeight="1">
      <c r="A38" s="693"/>
      <c r="B38" s="693"/>
      <c r="C38" s="693"/>
      <c r="D38" s="693"/>
      <c r="E38" s="693"/>
      <c r="F38" s="693"/>
      <c r="G38" s="693"/>
      <c r="H38" s="693"/>
      <c r="I38" s="693"/>
      <c r="J38" s="693"/>
      <c r="K38" s="693"/>
      <c r="L38" s="693"/>
      <c r="M38" s="693"/>
      <c r="N38" s="693"/>
      <c r="O38" s="693"/>
      <c r="P38" s="693"/>
      <c r="Q38" s="693"/>
      <c r="R38" s="693"/>
      <c r="S38" s="693"/>
      <c r="T38" s="693"/>
      <c r="U38" s="693"/>
      <c r="V38" s="693"/>
      <c r="W38" s="693"/>
      <c r="X38" s="693"/>
      <c r="Y38" s="693"/>
      <c r="Z38" s="693"/>
    </row>
    <row r="39" ht="15.75" customHeight="1">
      <c r="A39" s="693"/>
      <c r="B39" s="693"/>
      <c r="C39" s="693"/>
      <c r="D39" s="693"/>
      <c r="E39" s="693"/>
      <c r="F39" s="693"/>
      <c r="G39" s="693"/>
      <c r="H39" s="693"/>
      <c r="I39" s="693"/>
      <c r="J39" s="693"/>
      <c r="K39" s="693"/>
      <c r="L39" s="693"/>
      <c r="M39" s="693"/>
      <c r="N39" s="693"/>
      <c r="O39" s="693"/>
      <c r="P39" s="693"/>
      <c r="Q39" s="693"/>
      <c r="R39" s="693"/>
      <c r="S39" s="693"/>
      <c r="T39" s="693"/>
      <c r="U39" s="693"/>
      <c r="V39" s="693"/>
      <c r="W39" s="693"/>
      <c r="X39" s="693"/>
      <c r="Y39" s="693"/>
      <c r="Z39" s="693"/>
    </row>
    <row r="40" ht="15.75" customHeight="1">
      <c r="A40" s="693"/>
      <c r="B40" s="693"/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3"/>
      <c r="O40" s="693"/>
      <c r="P40" s="693"/>
      <c r="Q40" s="693"/>
      <c r="R40" s="693"/>
      <c r="S40" s="693"/>
      <c r="T40" s="693"/>
      <c r="U40" s="693"/>
      <c r="V40" s="693"/>
      <c r="W40" s="693"/>
      <c r="X40" s="693"/>
      <c r="Y40" s="693"/>
      <c r="Z40" s="693"/>
    </row>
    <row r="41" ht="15.75" customHeight="1">
      <c r="A41" s="693"/>
      <c r="B41" s="693"/>
      <c r="C41" s="693"/>
      <c r="D41" s="693"/>
      <c r="E41" s="693"/>
      <c r="F41" s="693"/>
      <c r="G41" s="693"/>
      <c r="H41" s="693"/>
      <c r="I41" s="693"/>
      <c r="J41" s="693"/>
      <c r="K41" s="693"/>
      <c r="L41" s="693"/>
      <c r="M41" s="693"/>
      <c r="N41" s="693"/>
      <c r="O41" s="693"/>
      <c r="P41" s="693"/>
      <c r="Q41" s="693"/>
      <c r="R41" s="693"/>
      <c r="S41" s="693"/>
      <c r="T41" s="693"/>
      <c r="U41" s="693"/>
      <c r="V41" s="693"/>
      <c r="W41" s="693"/>
      <c r="X41" s="693"/>
      <c r="Y41" s="693"/>
      <c r="Z41" s="693"/>
    </row>
    <row r="42" ht="15.75" customHeight="1">
      <c r="A42" s="693"/>
      <c r="B42" s="693"/>
      <c r="C42" s="693"/>
      <c r="D42" s="693"/>
      <c r="E42" s="693"/>
      <c r="F42" s="693"/>
      <c r="G42" s="693"/>
      <c r="H42" s="693"/>
      <c r="I42" s="693"/>
      <c r="J42" s="693"/>
      <c r="K42" s="693"/>
      <c r="L42" s="693"/>
      <c r="M42" s="693"/>
      <c r="N42" s="693"/>
      <c r="O42" s="693"/>
      <c r="P42" s="693"/>
      <c r="Q42" s="693"/>
      <c r="R42" s="693"/>
      <c r="S42" s="693"/>
      <c r="T42" s="693"/>
      <c r="U42" s="693"/>
      <c r="V42" s="693"/>
      <c r="W42" s="693"/>
      <c r="X42" s="693"/>
      <c r="Y42" s="693"/>
      <c r="Z42" s="693"/>
    </row>
    <row r="43" ht="15.75" customHeight="1">
      <c r="A43" s="693"/>
      <c r="B43" s="693"/>
      <c r="C43" s="693"/>
      <c r="D43" s="693"/>
      <c r="E43" s="693"/>
      <c r="F43" s="693"/>
      <c r="G43" s="693"/>
      <c r="H43" s="693"/>
      <c r="I43" s="693"/>
      <c r="J43" s="693"/>
      <c r="K43" s="693"/>
      <c r="L43" s="693"/>
      <c r="M43" s="693"/>
      <c r="N43" s="693"/>
      <c r="O43" s="693"/>
      <c r="P43" s="693"/>
      <c r="Q43" s="693"/>
      <c r="R43" s="693"/>
      <c r="S43" s="693"/>
      <c r="T43" s="693"/>
      <c r="U43" s="693"/>
      <c r="V43" s="693"/>
      <c r="W43" s="693"/>
      <c r="X43" s="693"/>
      <c r="Y43" s="693"/>
      <c r="Z43" s="693"/>
    </row>
    <row r="44" ht="15.75" customHeight="1">
      <c r="A44" s="693"/>
      <c r="B44" s="693"/>
      <c r="C44" s="693"/>
      <c r="D44" s="693"/>
      <c r="E44" s="693"/>
      <c r="F44" s="693"/>
      <c r="G44" s="693"/>
      <c r="H44" s="693"/>
      <c r="I44" s="693"/>
      <c r="J44" s="693"/>
      <c r="K44" s="693"/>
      <c r="L44" s="693"/>
      <c r="M44" s="693"/>
      <c r="N44" s="693"/>
      <c r="O44" s="693"/>
      <c r="P44" s="693"/>
      <c r="Q44" s="693"/>
      <c r="R44" s="693"/>
      <c r="S44" s="693"/>
      <c r="T44" s="693"/>
      <c r="U44" s="693"/>
      <c r="V44" s="693"/>
      <c r="W44" s="693"/>
      <c r="X44" s="693"/>
      <c r="Y44" s="693"/>
      <c r="Z44" s="693"/>
    </row>
    <row r="45" ht="15.75" customHeight="1">
      <c r="A45" s="693"/>
      <c r="B45" s="693"/>
      <c r="C45" s="693"/>
      <c r="D45" s="693"/>
      <c r="E45" s="693"/>
      <c r="F45" s="693"/>
      <c r="G45" s="693"/>
      <c r="H45" s="693"/>
      <c r="I45" s="693"/>
      <c r="J45" s="693"/>
      <c r="K45" s="693"/>
      <c r="L45" s="693"/>
      <c r="M45" s="693"/>
      <c r="N45" s="693"/>
      <c r="O45" s="693"/>
      <c r="P45" s="693"/>
      <c r="Q45" s="693"/>
      <c r="R45" s="693"/>
      <c r="S45" s="693"/>
      <c r="T45" s="693"/>
      <c r="U45" s="693"/>
      <c r="V45" s="693"/>
      <c r="W45" s="693"/>
      <c r="X45" s="693"/>
      <c r="Y45" s="693"/>
      <c r="Z45" s="693"/>
    </row>
    <row r="46" ht="15.75" customHeight="1">
      <c r="A46" s="693"/>
      <c r="B46" s="693"/>
      <c r="C46" s="693"/>
      <c r="D46" s="693"/>
      <c r="E46" s="693"/>
      <c r="F46" s="693"/>
      <c r="G46" s="693"/>
      <c r="H46" s="693"/>
      <c r="I46" s="693"/>
      <c r="J46" s="693"/>
      <c r="K46" s="693"/>
      <c r="L46" s="693"/>
      <c r="M46" s="693"/>
      <c r="N46" s="693"/>
      <c r="O46" s="693"/>
      <c r="P46" s="693"/>
      <c r="Q46" s="693"/>
      <c r="R46" s="693"/>
      <c r="S46" s="693"/>
      <c r="T46" s="693"/>
      <c r="U46" s="693"/>
      <c r="V46" s="693"/>
      <c r="W46" s="693"/>
      <c r="X46" s="693"/>
      <c r="Y46" s="693"/>
      <c r="Z46" s="693"/>
    </row>
    <row r="47" ht="15.75" customHeight="1">
      <c r="A47" s="693"/>
      <c r="B47" s="693"/>
      <c r="C47" s="693"/>
      <c r="D47" s="693"/>
      <c r="E47" s="693"/>
      <c r="F47" s="693"/>
      <c r="G47" s="693"/>
      <c r="H47" s="693"/>
      <c r="I47" s="693"/>
      <c r="J47" s="693"/>
      <c r="K47" s="693"/>
      <c r="L47" s="693"/>
      <c r="M47" s="693"/>
      <c r="N47" s="693"/>
      <c r="O47" s="693"/>
      <c r="P47" s="693"/>
      <c r="Q47" s="693"/>
      <c r="R47" s="693"/>
      <c r="S47" s="693"/>
      <c r="T47" s="693"/>
      <c r="U47" s="693"/>
      <c r="V47" s="693"/>
      <c r="W47" s="693"/>
      <c r="X47" s="693"/>
      <c r="Y47" s="693"/>
      <c r="Z47" s="693"/>
    </row>
    <row r="48" ht="15.75" customHeight="1">
      <c r="A48" s="693"/>
      <c r="B48" s="693"/>
      <c r="C48" s="693"/>
      <c r="D48" s="693"/>
      <c r="E48" s="693"/>
      <c r="F48" s="693"/>
      <c r="G48" s="693"/>
      <c r="H48" s="693"/>
      <c r="I48" s="693"/>
      <c r="J48" s="693"/>
      <c r="K48" s="693"/>
      <c r="L48" s="693"/>
      <c r="M48" s="693"/>
      <c r="N48" s="693"/>
      <c r="O48" s="693"/>
      <c r="P48" s="693"/>
      <c r="Q48" s="693"/>
      <c r="R48" s="693"/>
      <c r="S48" s="693"/>
      <c r="T48" s="693"/>
      <c r="U48" s="693"/>
      <c r="V48" s="693"/>
      <c r="W48" s="693"/>
      <c r="X48" s="693"/>
      <c r="Y48" s="693"/>
      <c r="Z48" s="693"/>
    </row>
    <row r="49" ht="15.75" customHeight="1">
      <c r="A49" s="693"/>
      <c r="B49" s="693"/>
      <c r="C49" s="693"/>
      <c r="D49" s="693"/>
      <c r="E49" s="693"/>
      <c r="F49" s="693"/>
      <c r="G49" s="693"/>
      <c r="H49" s="693"/>
      <c r="I49" s="693"/>
      <c r="J49" s="693"/>
      <c r="K49" s="693"/>
      <c r="L49" s="693"/>
      <c r="M49" s="693"/>
      <c r="N49" s="693"/>
      <c r="O49" s="693"/>
      <c r="P49" s="693"/>
      <c r="Q49" s="693"/>
      <c r="R49" s="693"/>
      <c r="S49" s="693"/>
      <c r="T49" s="693"/>
      <c r="U49" s="693"/>
      <c r="V49" s="693"/>
      <c r="W49" s="693"/>
      <c r="X49" s="693"/>
      <c r="Y49" s="693"/>
      <c r="Z49" s="693"/>
    </row>
    <row r="50" ht="15.75" customHeight="1">
      <c r="A50" s="693"/>
      <c r="B50" s="693"/>
      <c r="C50" s="693"/>
      <c r="D50" s="693"/>
      <c r="E50" s="693"/>
      <c r="F50" s="693"/>
      <c r="G50" s="693"/>
      <c r="H50" s="693"/>
      <c r="I50" s="693"/>
      <c r="J50" s="693"/>
      <c r="K50" s="693"/>
      <c r="L50" s="693"/>
      <c r="M50" s="693"/>
      <c r="N50" s="693"/>
      <c r="O50" s="693"/>
      <c r="P50" s="693"/>
      <c r="Q50" s="693"/>
      <c r="R50" s="693"/>
      <c r="S50" s="693"/>
      <c r="T50" s="693"/>
      <c r="U50" s="693"/>
      <c r="V50" s="693"/>
      <c r="W50" s="693"/>
      <c r="X50" s="693"/>
      <c r="Y50" s="693"/>
      <c r="Z50" s="693"/>
    </row>
    <row r="51" ht="15.75" customHeight="1">
      <c r="A51" s="693"/>
      <c r="B51" s="693"/>
      <c r="C51" s="693"/>
      <c r="D51" s="693"/>
      <c r="E51" s="693"/>
      <c r="F51" s="693"/>
      <c r="G51" s="693"/>
      <c r="H51" s="693"/>
      <c r="I51" s="693"/>
      <c r="J51" s="693"/>
      <c r="K51" s="693"/>
      <c r="L51" s="693"/>
      <c r="M51" s="693"/>
      <c r="N51" s="693"/>
      <c r="O51" s="693"/>
      <c r="P51" s="693"/>
      <c r="Q51" s="693"/>
      <c r="R51" s="693"/>
      <c r="S51" s="693"/>
      <c r="T51" s="693"/>
      <c r="U51" s="693"/>
      <c r="V51" s="693"/>
      <c r="W51" s="693"/>
      <c r="X51" s="693"/>
      <c r="Y51" s="693"/>
      <c r="Z51" s="693"/>
    </row>
    <row r="52" ht="15.75" customHeight="1">
      <c r="A52" s="693"/>
      <c r="B52" s="693"/>
      <c r="C52" s="693"/>
      <c r="D52" s="693"/>
      <c r="E52" s="693"/>
      <c r="F52" s="693"/>
      <c r="G52" s="693"/>
      <c r="H52" s="693"/>
      <c r="I52" s="693"/>
      <c r="J52" s="693"/>
      <c r="K52" s="693"/>
      <c r="L52" s="693"/>
      <c r="M52" s="693"/>
      <c r="N52" s="693"/>
      <c r="O52" s="693"/>
      <c r="P52" s="693"/>
      <c r="Q52" s="693"/>
      <c r="R52" s="693"/>
      <c r="S52" s="693"/>
      <c r="T52" s="693"/>
      <c r="U52" s="693"/>
      <c r="V52" s="693"/>
      <c r="W52" s="693"/>
      <c r="X52" s="693"/>
      <c r="Y52" s="693"/>
      <c r="Z52" s="693"/>
    </row>
    <row r="53" ht="15.75" customHeight="1">
      <c r="A53" s="693"/>
      <c r="B53" s="693"/>
      <c r="C53" s="693"/>
      <c r="D53" s="693"/>
      <c r="E53" s="693"/>
      <c r="F53" s="693"/>
      <c r="G53" s="693"/>
      <c r="H53" s="693"/>
      <c r="I53" s="693"/>
      <c r="J53" s="693"/>
      <c r="K53" s="693"/>
      <c r="L53" s="693"/>
      <c r="M53" s="693"/>
      <c r="N53" s="693"/>
      <c r="O53" s="693"/>
      <c r="P53" s="693"/>
      <c r="Q53" s="693"/>
      <c r="R53" s="693"/>
      <c r="S53" s="693"/>
      <c r="T53" s="693"/>
      <c r="U53" s="693"/>
      <c r="V53" s="693"/>
      <c r="W53" s="693"/>
      <c r="X53" s="693"/>
      <c r="Y53" s="693"/>
      <c r="Z53" s="693"/>
    </row>
    <row r="54" ht="15.75" customHeight="1">
      <c r="A54" s="693"/>
      <c r="B54" s="693"/>
      <c r="C54" s="693"/>
      <c r="D54" s="693"/>
      <c r="E54" s="693"/>
      <c r="F54" s="693"/>
      <c r="G54" s="693"/>
      <c r="H54" s="693"/>
      <c r="I54" s="693"/>
      <c r="J54" s="693"/>
      <c r="K54" s="693"/>
      <c r="L54" s="693"/>
      <c r="M54" s="693"/>
      <c r="N54" s="693"/>
      <c r="O54" s="693"/>
      <c r="P54" s="693"/>
      <c r="Q54" s="693"/>
      <c r="R54" s="693"/>
      <c r="S54" s="693"/>
      <c r="T54" s="693"/>
      <c r="U54" s="693"/>
      <c r="V54" s="693"/>
      <c r="W54" s="693"/>
      <c r="X54" s="693"/>
      <c r="Y54" s="693"/>
      <c r="Z54" s="693"/>
    </row>
    <row r="55" ht="15.75" customHeight="1">
      <c r="A55" s="693"/>
      <c r="B55" s="693"/>
      <c r="C55" s="693"/>
      <c r="D55" s="693"/>
      <c r="E55" s="693"/>
      <c r="F55" s="693"/>
      <c r="G55" s="693"/>
      <c r="H55" s="693"/>
      <c r="I55" s="693"/>
      <c r="J55" s="693"/>
      <c r="K55" s="693"/>
      <c r="L55" s="693"/>
      <c r="M55" s="693"/>
      <c r="N55" s="693"/>
      <c r="O55" s="693"/>
      <c r="P55" s="693"/>
      <c r="Q55" s="693"/>
      <c r="R55" s="693"/>
      <c r="S55" s="693"/>
      <c r="T55" s="693"/>
      <c r="U55" s="693"/>
      <c r="V55" s="693"/>
      <c r="W55" s="693"/>
      <c r="X55" s="693"/>
      <c r="Y55" s="693"/>
      <c r="Z55" s="693"/>
    </row>
    <row r="56" ht="15.75" customHeight="1">
      <c r="A56" s="693"/>
      <c r="B56" s="693"/>
      <c r="C56" s="693"/>
      <c r="D56" s="693"/>
      <c r="E56" s="693"/>
      <c r="F56" s="693"/>
      <c r="G56" s="693"/>
      <c r="H56" s="693"/>
      <c r="I56" s="693"/>
      <c r="J56" s="693"/>
      <c r="K56" s="693"/>
      <c r="L56" s="693"/>
      <c r="M56" s="693"/>
      <c r="N56" s="693"/>
      <c r="O56" s="693"/>
      <c r="P56" s="693"/>
      <c r="Q56" s="693"/>
      <c r="R56" s="693"/>
      <c r="S56" s="693"/>
      <c r="T56" s="693"/>
      <c r="U56" s="693"/>
      <c r="V56" s="693"/>
      <c r="W56" s="693"/>
      <c r="X56" s="693"/>
      <c r="Y56" s="693"/>
      <c r="Z56" s="693"/>
    </row>
    <row r="57" ht="15.75" customHeight="1">
      <c r="A57" s="693"/>
      <c r="B57" s="693"/>
      <c r="C57" s="693"/>
      <c r="D57" s="693"/>
      <c r="E57" s="693"/>
      <c r="F57" s="693"/>
      <c r="G57" s="693"/>
      <c r="H57" s="693"/>
      <c r="I57" s="693"/>
      <c r="J57" s="693"/>
      <c r="K57" s="693"/>
      <c r="L57" s="693"/>
      <c r="M57" s="693"/>
      <c r="N57" s="693"/>
      <c r="O57" s="693"/>
      <c r="P57" s="693"/>
      <c r="Q57" s="693"/>
      <c r="R57" s="693"/>
      <c r="S57" s="693"/>
      <c r="T57" s="693"/>
      <c r="U57" s="693"/>
      <c r="V57" s="693"/>
      <c r="W57" s="693"/>
      <c r="X57" s="693"/>
      <c r="Y57" s="693"/>
      <c r="Z57" s="693"/>
    </row>
    <row r="58" ht="15.75" customHeight="1">
      <c r="A58" s="693"/>
      <c r="B58" s="693"/>
      <c r="C58" s="693"/>
      <c r="D58" s="693"/>
      <c r="E58" s="693"/>
      <c r="F58" s="693"/>
      <c r="G58" s="693"/>
      <c r="H58" s="693"/>
      <c r="I58" s="693"/>
      <c r="J58" s="693"/>
      <c r="K58" s="693"/>
      <c r="L58" s="693"/>
      <c r="M58" s="693"/>
      <c r="N58" s="693"/>
      <c r="O58" s="693"/>
      <c r="P58" s="693"/>
      <c r="Q58" s="693"/>
      <c r="R58" s="693"/>
      <c r="S58" s="693"/>
      <c r="T58" s="693"/>
      <c r="U58" s="693"/>
      <c r="V58" s="693"/>
      <c r="W58" s="693"/>
      <c r="X58" s="693"/>
      <c r="Y58" s="693"/>
      <c r="Z58" s="693"/>
    </row>
    <row r="59" ht="15.75" customHeight="1">
      <c r="A59" s="693"/>
      <c r="B59" s="693"/>
      <c r="C59" s="693"/>
      <c r="D59" s="693"/>
      <c r="E59" s="693"/>
      <c r="F59" s="693"/>
      <c r="G59" s="693"/>
      <c r="H59" s="693"/>
      <c r="I59" s="693"/>
      <c r="J59" s="693"/>
      <c r="K59" s="693"/>
      <c r="L59" s="693"/>
      <c r="M59" s="693"/>
      <c r="N59" s="693"/>
      <c r="O59" s="693"/>
      <c r="P59" s="693"/>
      <c r="Q59" s="693"/>
      <c r="R59" s="693"/>
      <c r="S59" s="693"/>
      <c r="T59" s="693"/>
      <c r="U59" s="693"/>
      <c r="V59" s="693"/>
      <c r="W59" s="693"/>
      <c r="X59" s="693"/>
      <c r="Y59" s="693"/>
      <c r="Z59" s="693"/>
    </row>
    <row r="60" ht="15.75" customHeight="1">
      <c r="A60" s="693"/>
      <c r="B60" s="693"/>
      <c r="C60" s="693"/>
      <c r="D60" s="693"/>
      <c r="E60" s="693"/>
      <c r="F60" s="693"/>
      <c r="G60" s="693"/>
      <c r="H60" s="693"/>
      <c r="I60" s="693"/>
      <c r="J60" s="693"/>
      <c r="K60" s="693"/>
      <c r="L60" s="693"/>
      <c r="M60" s="693"/>
      <c r="N60" s="693"/>
      <c r="O60" s="693"/>
      <c r="P60" s="693"/>
      <c r="Q60" s="693"/>
      <c r="R60" s="693"/>
      <c r="S60" s="693"/>
      <c r="T60" s="693"/>
      <c r="U60" s="693"/>
      <c r="V60" s="693"/>
      <c r="W60" s="693"/>
      <c r="X60" s="693"/>
      <c r="Y60" s="693"/>
      <c r="Z60" s="693"/>
    </row>
    <row r="61" ht="15.75" customHeight="1">
      <c r="A61" s="693"/>
      <c r="B61" s="693"/>
      <c r="C61" s="693"/>
      <c r="D61" s="693"/>
      <c r="E61" s="693"/>
      <c r="F61" s="693"/>
      <c r="G61" s="693"/>
      <c r="H61" s="693"/>
      <c r="I61" s="693"/>
      <c r="J61" s="693"/>
      <c r="K61" s="693"/>
      <c r="L61" s="693"/>
      <c r="M61" s="693"/>
      <c r="N61" s="693"/>
      <c r="O61" s="693"/>
      <c r="P61" s="693"/>
      <c r="Q61" s="693"/>
      <c r="R61" s="693"/>
      <c r="S61" s="693"/>
      <c r="T61" s="693"/>
      <c r="U61" s="693"/>
      <c r="V61" s="693"/>
      <c r="W61" s="693"/>
      <c r="X61" s="693"/>
      <c r="Y61" s="693"/>
      <c r="Z61" s="693"/>
    </row>
    <row r="62" ht="15.75" customHeight="1">
      <c r="A62" s="693"/>
      <c r="B62" s="693"/>
      <c r="C62" s="693"/>
      <c r="D62" s="693"/>
      <c r="E62" s="693"/>
      <c r="F62" s="693"/>
      <c r="G62" s="693"/>
      <c r="H62" s="693"/>
      <c r="I62" s="693"/>
      <c r="J62" s="693"/>
      <c r="K62" s="693"/>
      <c r="L62" s="693"/>
      <c r="M62" s="693"/>
      <c r="N62" s="693"/>
      <c r="O62" s="693"/>
      <c r="P62" s="693"/>
      <c r="Q62" s="693"/>
      <c r="R62" s="693"/>
      <c r="S62" s="693"/>
      <c r="T62" s="693"/>
      <c r="U62" s="693"/>
      <c r="V62" s="693"/>
      <c r="W62" s="693"/>
      <c r="X62" s="693"/>
      <c r="Y62" s="693"/>
      <c r="Z62" s="693"/>
    </row>
    <row r="63" ht="15.75" customHeight="1">
      <c r="A63" s="693"/>
      <c r="B63" s="693"/>
      <c r="C63" s="693"/>
      <c r="D63" s="693"/>
      <c r="E63" s="693"/>
      <c r="F63" s="693"/>
      <c r="G63" s="693"/>
      <c r="H63" s="693"/>
      <c r="I63" s="693"/>
      <c r="J63" s="693"/>
      <c r="K63" s="693"/>
      <c r="L63" s="693"/>
      <c r="M63" s="693"/>
      <c r="N63" s="693"/>
      <c r="O63" s="693"/>
      <c r="P63" s="693"/>
      <c r="Q63" s="693"/>
      <c r="R63" s="693"/>
      <c r="S63" s="693"/>
      <c r="T63" s="693"/>
      <c r="U63" s="693"/>
      <c r="V63" s="693"/>
      <c r="W63" s="693"/>
      <c r="X63" s="693"/>
      <c r="Y63" s="693"/>
      <c r="Z63" s="693"/>
    </row>
    <row r="64" ht="15.75" customHeight="1">
      <c r="A64" s="693"/>
      <c r="B64" s="693"/>
      <c r="C64" s="693"/>
      <c r="D64" s="693"/>
      <c r="E64" s="693"/>
      <c r="F64" s="693"/>
      <c r="G64" s="693"/>
      <c r="H64" s="693"/>
      <c r="I64" s="693"/>
      <c r="J64" s="693"/>
      <c r="K64" s="693"/>
      <c r="L64" s="693"/>
      <c r="M64" s="693"/>
      <c r="N64" s="693"/>
      <c r="O64" s="693"/>
      <c r="P64" s="693"/>
      <c r="Q64" s="693"/>
      <c r="R64" s="693"/>
      <c r="S64" s="693"/>
      <c r="T64" s="693"/>
      <c r="U64" s="693"/>
      <c r="V64" s="693"/>
      <c r="W64" s="693"/>
      <c r="X64" s="693"/>
      <c r="Y64" s="693"/>
      <c r="Z64" s="693"/>
    </row>
    <row r="65" ht="15.75" customHeight="1">
      <c r="A65" s="693"/>
      <c r="B65" s="693"/>
      <c r="C65" s="693"/>
      <c r="D65" s="693"/>
      <c r="E65" s="693"/>
      <c r="F65" s="693"/>
      <c r="G65" s="693"/>
      <c r="H65" s="693"/>
      <c r="I65" s="693"/>
      <c r="J65" s="693"/>
      <c r="K65" s="693"/>
      <c r="L65" s="693"/>
      <c r="M65" s="693"/>
      <c r="N65" s="693"/>
      <c r="O65" s="693"/>
      <c r="P65" s="693"/>
      <c r="Q65" s="693"/>
      <c r="R65" s="693"/>
      <c r="S65" s="693"/>
      <c r="T65" s="693"/>
      <c r="U65" s="693"/>
      <c r="V65" s="693"/>
      <c r="W65" s="693"/>
      <c r="X65" s="693"/>
      <c r="Y65" s="693"/>
      <c r="Z65" s="693"/>
    </row>
    <row r="66" ht="15.75" customHeight="1">
      <c r="A66" s="693"/>
      <c r="B66" s="693"/>
      <c r="C66" s="693"/>
      <c r="D66" s="693"/>
      <c r="E66" s="693"/>
      <c r="F66" s="693"/>
      <c r="G66" s="693"/>
      <c r="H66" s="693"/>
      <c r="I66" s="693"/>
      <c r="J66" s="693"/>
      <c r="K66" s="693"/>
      <c r="L66" s="693"/>
      <c r="M66" s="693"/>
      <c r="N66" s="693"/>
      <c r="O66" s="693"/>
      <c r="P66" s="693"/>
      <c r="Q66" s="693"/>
      <c r="R66" s="693"/>
      <c r="S66" s="693"/>
      <c r="T66" s="693"/>
      <c r="U66" s="693"/>
      <c r="V66" s="693"/>
      <c r="W66" s="693"/>
      <c r="X66" s="693"/>
      <c r="Y66" s="693"/>
      <c r="Z66" s="693"/>
    </row>
    <row r="67" ht="15.75" customHeight="1">
      <c r="A67" s="693"/>
      <c r="B67" s="693"/>
      <c r="C67" s="693"/>
      <c r="D67" s="693"/>
      <c r="E67" s="693"/>
      <c r="F67" s="693"/>
      <c r="G67" s="693"/>
      <c r="H67" s="693"/>
      <c r="I67" s="693"/>
      <c r="J67" s="693"/>
      <c r="K67" s="693"/>
      <c r="L67" s="693"/>
      <c r="M67" s="693"/>
      <c r="N67" s="693"/>
      <c r="O67" s="693"/>
      <c r="P67" s="693"/>
      <c r="Q67" s="693"/>
      <c r="R67" s="693"/>
      <c r="S67" s="693"/>
      <c r="T67" s="693"/>
      <c r="U67" s="693"/>
      <c r="V67" s="693"/>
      <c r="W67" s="693"/>
      <c r="X67" s="693"/>
      <c r="Y67" s="693"/>
      <c r="Z67" s="693"/>
    </row>
    <row r="68" ht="15.75" customHeight="1">
      <c r="A68" s="693"/>
      <c r="B68" s="693"/>
      <c r="C68" s="693"/>
      <c r="D68" s="693"/>
      <c r="E68" s="693"/>
      <c r="F68" s="693"/>
      <c r="G68" s="693"/>
      <c r="H68" s="693"/>
      <c r="I68" s="693"/>
      <c r="J68" s="693"/>
      <c r="K68" s="693"/>
      <c r="L68" s="693"/>
      <c r="M68" s="693"/>
      <c r="N68" s="693"/>
      <c r="O68" s="693"/>
      <c r="P68" s="693"/>
      <c r="Q68" s="693"/>
      <c r="R68" s="693"/>
      <c r="S68" s="693"/>
      <c r="T68" s="693"/>
      <c r="U68" s="693"/>
      <c r="V68" s="693"/>
      <c r="W68" s="693"/>
      <c r="X68" s="693"/>
      <c r="Y68" s="693"/>
      <c r="Z68" s="693"/>
    </row>
    <row r="69" ht="15.75" customHeight="1">
      <c r="A69" s="693"/>
      <c r="B69" s="693"/>
      <c r="C69" s="693"/>
      <c r="D69" s="693"/>
      <c r="E69" s="693"/>
      <c r="F69" s="693"/>
      <c r="G69" s="693"/>
      <c r="H69" s="693"/>
      <c r="I69" s="693"/>
      <c r="J69" s="693"/>
      <c r="K69" s="693"/>
      <c r="L69" s="693"/>
      <c r="M69" s="693"/>
      <c r="N69" s="693"/>
      <c r="O69" s="693"/>
      <c r="P69" s="693"/>
      <c r="Q69" s="693"/>
      <c r="R69" s="693"/>
      <c r="S69" s="693"/>
      <c r="T69" s="693"/>
      <c r="U69" s="693"/>
      <c r="V69" s="693"/>
      <c r="W69" s="693"/>
      <c r="X69" s="693"/>
      <c r="Y69" s="693"/>
      <c r="Z69" s="693"/>
    </row>
    <row r="70" ht="15.75" customHeight="1">
      <c r="A70" s="693"/>
      <c r="B70" s="693"/>
      <c r="C70" s="693"/>
      <c r="D70" s="693"/>
      <c r="E70" s="693"/>
      <c r="F70" s="693"/>
      <c r="G70" s="693"/>
      <c r="H70" s="693"/>
      <c r="I70" s="693"/>
      <c r="J70" s="693"/>
      <c r="K70" s="693"/>
      <c r="L70" s="693"/>
      <c r="M70" s="693"/>
      <c r="N70" s="693"/>
      <c r="O70" s="693"/>
      <c r="P70" s="693"/>
      <c r="Q70" s="693"/>
      <c r="R70" s="693"/>
      <c r="S70" s="693"/>
      <c r="T70" s="693"/>
      <c r="U70" s="693"/>
      <c r="V70" s="693"/>
      <c r="W70" s="693"/>
      <c r="X70" s="693"/>
      <c r="Y70" s="693"/>
      <c r="Z70" s="693"/>
    </row>
    <row r="71" ht="15.75" customHeight="1">
      <c r="A71" s="693"/>
      <c r="B71" s="693"/>
      <c r="C71" s="693"/>
      <c r="D71" s="693"/>
      <c r="E71" s="693"/>
      <c r="F71" s="693"/>
      <c r="G71" s="693"/>
      <c r="H71" s="693"/>
      <c r="I71" s="693"/>
      <c r="J71" s="693"/>
      <c r="K71" s="693"/>
      <c r="L71" s="693"/>
      <c r="M71" s="693"/>
      <c r="N71" s="693"/>
      <c r="O71" s="693"/>
      <c r="P71" s="693"/>
      <c r="Q71" s="693"/>
      <c r="R71" s="693"/>
      <c r="S71" s="693"/>
      <c r="T71" s="693"/>
      <c r="U71" s="693"/>
      <c r="V71" s="693"/>
      <c r="W71" s="693"/>
      <c r="X71" s="693"/>
      <c r="Y71" s="693"/>
      <c r="Z71" s="693"/>
    </row>
    <row r="72" ht="15.75" customHeight="1">
      <c r="A72" s="693"/>
      <c r="B72" s="693"/>
      <c r="C72" s="693"/>
      <c r="D72" s="693"/>
      <c r="E72" s="693"/>
      <c r="F72" s="693"/>
      <c r="G72" s="693"/>
      <c r="H72" s="693"/>
      <c r="I72" s="693"/>
      <c r="J72" s="693"/>
      <c r="K72" s="693"/>
      <c r="L72" s="693"/>
      <c r="M72" s="693"/>
      <c r="N72" s="693"/>
      <c r="O72" s="693"/>
      <c r="P72" s="693"/>
      <c r="Q72" s="693"/>
      <c r="R72" s="693"/>
      <c r="S72" s="693"/>
      <c r="T72" s="693"/>
      <c r="U72" s="693"/>
      <c r="V72" s="693"/>
      <c r="W72" s="693"/>
      <c r="X72" s="693"/>
      <c r="Y72" s="693"/>
      <c r="Z72" s="693"/>
    </row>
    <row r="73" ht="15.75" customHeight="1">
      <c r="A73" s="693"/>
      <c r="B73" s="693"/>
      <c r="C73" s="693"/>
      <c r="D73" s="693"/>
      <c r="E73" s="693"/>
      <c r="F73" s="693"/>
      <c r="G73" s="693"/>
      <c r="H73" s="693"/>
      <c r="I73" s="693"/>
      <c r="J73" s="693"/>
      <c r="K73" s="693"/>
      <c r="L73" s="693"/>
      <c r="M73" s="693"/>
      <c r="N73" s="693"/>
      <c r="O73" s="693"/>
      <c r="P73" s="693"/>
      <c r="Q73" s="693"/>
      <c r="R73" s="693"/>
      <c r="S73" s="693"/>
      <c r="T73" s="693"/>
      <c r="U73" s="693"/>
      <c r="V73" s="693"/>
      <c r="W73" s="693"/>
      <c r="X73" s="693"/>
      <c r="Y73" s="693"/>
      <c r="Z73" s="693"/>
    </row>
    <row r="74" ht="15.75" customHeight="1">
      <c r="A74" s="693"/>
      <c r="B74" s="693"/>
      <c r="C74" s="693"/>
      <c r="D74" s="693"/>
      <c r="E74" s="693"/>
      <c r="F74" s="693"/>
      <c r="G74" s="693"/>
      <c r="H74" s="693"/>
      <c r="I74" s="693"/>
      <c r="J74" s="693"/>
      <c r="K74" s="693"/>
      <c r="L74" s="693"/>
      <c r="M74" s="693"/>
      <c r="N74" s="693"/>
      <c r="O74" s="693"/>
      <c r="P74" s="693"/>
      <c r="Q74" s="693"/>
      <c r="R74" s="693"/>
      <c r="S74" s="693"/>
      <c r="T74" s="693"/>
      <c r="U74" s="693"/>
      <c r="V74" s="693"/>
      <c r="W74" s="693"/>
      <c r="X74" s="693"/>
      <c r="Y74" s="693"/>
      <c r="Z74" s="693"/>
    </row>
    <row r="75" ht="15.75" customHeight="1">
      <c r="A75" s="693"/>
      <c r="B75" s="693"/>
      <c r="C75" s="693"/>
      <c r="D75" s="693"/>
      <c r="E75" s="693"/>
      <c r="F75" s="693"/>
      <c r="G75" s="693"/>
      <c r="H75" s="693"/>
      <c r="I75" s="693"/>
      <c r="J75" s="693"/>
      <c r="K75" s="693"/>
      <c r="L75" s="693"/>
      <c r="M75" s="693"/>
      <c r="N75" s="693"/>
      <c r="O75" s="693"/>
      <c r="P75" s="693"/>
      <c r="Q75" s="693"/>
      <c r="R75" s="693"/>
      <c r="S75" s="693"/>
      <c r="T75" s="693"/>
      <c r="U75" s="693"/>
      <c r="V75" s="693"/>
      <c r="W75" s="693"/>
      <c r="X75" s="693"/>
      <c r="Y75" s="693"/>
      <c r="Z75" s="693"/>
    </row>
    <row r="76" ht="15.75" customHeight="1">
      <c r="A76" s="693"/>
      <c r="B76" s="693"/>
      <c r="C76" s="693"/>
      <c r="D76" s="693"/>
      <c r="E76" s="693"/>
      <c r="F76" s="693"/>
      <c r="G76" s="693"/>
      <c r="H76" s="693"/>
      <c r="I76" s="693"/>
      <c r="J76" s="693"/>
      <c r="K76" s="693"/>
      <c r="L76" s="693"/>
      <c r="M76" s="693"/>
      <c r="N76" s="693"/>
      <c r="O76" s="693"/>
      <c r="P76" s="693"/>
      <c r="Q76" s="693"/>
      <c r="R76" s="693"/>
      <c r="S76" s="693"/>
      <c r="T76" s="693"/>
      <c r="U76" s="693"/>
      <c r="V76" s="693"/>
      <c r="W76" s="693"/>
      <c r="X76" s="693"/>
      <c r="Y76" s="693"/>
      <c r="Z76" s="693"/>
    </row>
    <row r="77" ht="15.75" customHeight="1">
      <c r="A77" s="693"/>
      <c r="B77" s="693"/>
      <c r="C77" s="693"/>
      <c r="D77" s="693"/>
      <c r="E77" s="693"/>
      <c r="F77" s="693"/>
      <c r="G77" s="693"/>
      <c r="H77" s="693"/>
      <c r="I77" s="693"/>
      <c r="J77" s="693"/>
      <c r="K77" s="693"/>
      <c r="L77" s="693"/>
      <c r="M77" s="693"/>
      <c r="N77" s="693"/>
      <c r="O77" s="693"/>
      <c r="P77" s="693"/>
      <c r="Q77" s="693"/>
      <c r="R77" s="693"/>
      <c r="S77" s="693"/>
      <c r="T77" s="693"/>
      <c r="U77" s="693"/>
      <c r="V77" s="693"/>
      <c r="W77" s="693"/>
      <c r="X77" s="693"/>
      <c r="Y77" s="693"/>
      <c r="Z77" s="693"/>
    </row>
    <row r="78" ht="15.75" customHeight="1">
      <c r="A78" s="693"/>
      <c r="B78" s="693"/>
      <c r="C78" s="693"/>
      <c r="D78" s="693"/>
      <c r="E78" s="693"/>
      <c r="F78" s="693"/>
      <c r="G78" s="693"/>
      <c r="H78" s="693"/>
      <c r="I78" s="693"/>
      <c r="J78" s="693"/>
      <c r="K78" s="693"/>
      <c r="L78" s="693"/>
      <c r="M78" s="693"/>
      <c r="N78" s="693"/>
      <c r="O78" s="693"/>
      <c r="P78" s="693"/>
      <c r="Q78" s="693"/>
      <c r="R78" s="693"/>
      <c r="S78" s="693"/>
      <c r="T78" s="693"/>
      <c r="U78" s="693"/>
      <c r="V78" s="693"/>
      <c r="W78" s="693"/>
      <c r="X78" s="693"/>
      <c r="Y78" s="693"/>
      <c r="Z78" s="693"/>
    </row>
    <row r="79" ht="15.75" customHeight="1">
      <c r="A79" s="693"/>
      <c r="B79" s="693"/>
      <c r="C79" s="693"/>
      <c r="D79" s="693"/>
      <c r="E79" s="693"/>
      <c r="F79" s="693"/>
      <c r="G79" s="693"/>
      <c r="H79" s="693"/>
      <c r="I79" s="693"/>
      <c r="J79" s="693"/>
      <c r="K79" s="693"/>
      <c r="L79" s="693"/>
      <c r="M79" s="693"/>
      <c r="N79" s="693"/>
      <c r="O79" s="693"/>
      <c r="P79" s="693"/>
      <c r="Q79" s="693"/>
      <c r="R79" s="693"/>
      <c r="S79" s="693"/>
      <c r="T79" s="693"/>
      <c r="U79" s="693"/>
      <c r="V79" s="693"/>
      <c r="W79" s="693"/>
      <c r="X79" s="693"/>
      <c r="Y79" s="693"/>
      <c r="Z79" s="693"/>
    </row>
    <row r="80" ht="15.75" customHeight="1">
      <c r="A80" s="693"/>
      <c r="B80" s="693"/>
      <c r="C80" s="693"/>
      <c r="D80" s="693"/>
      <c r="E80" s="693"/>
      <c r="F80" s="693"/>
      <c r="G80" s="693"/>
      <c r="H80" s="693"/>
      <c r="I80" s="693"/>
      <c r="J80" s="693"/>
      <c r="K80" s="693"/>
      <c r="L80" s="693"/>
      <c r="M80" s="693"/>
      <c r="N80" s="693"/>
      <c r="O80" s="693"/>
      <c r="P80" s="693"/>
      <c r="Q80" s="693"/>
      <c r="R80" s="693"/>
      <c r="S80" s="693"/>
      <c r="T80" s="693"/>
      <c r="U80" s="693"/>
      <c r="V80" s="693"/>
      <c r="W80" s="693"/>
      <c r="X80" s="693"/>
      <c r="Y80" s="693"/>
      <c r="Z80" s="693"/>
    </row>
    <row r="81" ht="15.75" customHeight="1">
      <c r="A81" s="693"/>
      <c r="B81" s="693"/>
      <c r="C81" s="693"/>
      <c r="D81" s="693"/>
      <c r="E81" s="693"/>
      <c r="F81" s="693"/>
      <c r="G81" s="693"/>
      <c r="H81" s="693"/>
      <c r="I81" s="693"/>
      <c r="J81" s="693"/>
      <c r="K81" s="693"/>
      <c r="L81" s="693"/>
      <c r="M81" s="693"/>
      <c r="N81" s="693"/>
      <c r="O81" s="693"/>
      <c r="P81" s="693"/>
      <c r="Q81" s="693"/>
      <c r="R81" s="693"/>
      <c r="S81" s="693"/>
      <c r="T81" s="693"/>
      <c r="U81" s="693"/>
      <c r="V81" s="693"/>
      <c r="W81" s="693"/>
      <c r="X81" s="693"/>
      <c r="Y81" s="693"/>
      <c r="Z81" s="693"/>
    </row>
    <row r="82" ht="15.75" customHeight="1">
      <c r="A82" s="693"/>
      <c r="B82" s="693"/>
      <c r="C82" s="693"/>
      <c r="D82" s="693"/>
      <c r="E82" s="693"/>
      <c r="F82" s="693"/>
      <c r="G82" s="693"/>
      <c r="H82" s="693"/>
      <c r="I82" s="693"/>
      <c r="J82" s="693"/>
      <c r="K82" s="693"/>
      <c r="L82" s="693"/>
      <c r="M82" s="693"/>
      <c r="N82" s="693"/>
      <c r="O82" s="693"/>
      <c r="P82" s="693"/>
      <c r="Q82" s="693"/>
      <c r="R82" s="693"/>
      <c r="S82" s="693"/>
      <c r="T82" s="693"/>
      <c r="U82" s="693"/>
      <c r="V82" s="693"/>
      <c r="W82" s="693"/>
      <c r="X82" s="693"/>
      <c r="Y82" s="693"/>
      <c r="Z82" s="693"/>
    </row>
    <row r="83" ht="15.75" customHeight="1">
      <c r="A83" s="693"/>
      <c r="B83" s="693"/>
      <c r="C83" s="693"/>
      <c r="D83" s="693"/>
      <c r="E83" s="693"/>
      <c r="F83" s="693"/>
      <c r="G83" s="693"/>
      <c r="H83" s="693"/>
      <c r="I83" s="693"/>
      <c r="J83" s="693"/>
      <c r="K83" s="693"/>
      <c r="L83" s="693"/>
      <c r="M83" s="693"/>
      <c r="N83" s="693"/>
      <c r="O83" s="693"/>
      <c r="P83" s="693"/>
      <c r="Q83" s="693"/>
      <c r="R83" s="693"/>
      <c r="S83" s="693"/>
      <c r="T83" s="693"/>
      <c r="U83" s="693"/>
      <c r="V83" s="693"/>
      <c r="W83" s="693"/>
      <c r="X83" s="693"/>
      <c r="Y83" s="693"/>
      <c r="Z83" s="693"/>
    </row>
    <row r="84" ht="15.75" customHeight="1">
      <c r="A84" s="693"/>
      <c r="B84" s="693"/>
      <c r="C84" s="693"/>
      <c r="D84" s="693"/>
      <c r="E84" s="693"/>
      <c r="F84" s="693"/>
      <c r="G84" s="693"/>
      <c r="H84" s="693"/>
      <c r="I84" s="693"/>
      <c r="J84" s="693"/>
      <c r="K84" s="693"/>
      <c r="L84" s="693"/>
      <c r="M84" s="693"/>
      <c r="N84" s="693"/>
      <c r="O84" s="693"/>
      <c r="P84" s="693"/>
      <c r="Q84" s="693"/>
      <c r="R84" s="693"/>
      <c r="S84" s="693"/>
      <c r="T84" s="693"/>
      <c r="U84" s="693"/>
      <c r="V84" s="693"/>
      <c r="W84" s="693"/>
      <c r="X84" s="693"/>
      <c r="Y84" s="693"/>
      <c r="Z84" s="693"/>
    </row>
    <row r="85" ht="15.75" customHeight="1">
      <c r="A85" s="693"/>
      <c r="B85" s="693"/>
      <c r="C85" s="693"/>
      <c r="D85" s="693"/>
      <c r="E85" s="693"/>
      <c r="F85" s="693"/>
      <c r="G85" s="693"/>
      <c r="H85" s="693"/>
      <c r="I85" s="693"/>
      <c r="J85" s="693"/>
      <c r="K85" s="693"/>
      <c r="L85" s="693"/>
      <c r="M85" s="693"/>
      <c r="N85" s="693"/>
      <c r="O85" s="693"/>
      <c r="P85" s="693"/>
      <c r="Q85" s="693"/>
      <c r="R85" s="693"/>
      <c r="S85" s="693"/>
      <c r="T85" s="693"/>
      <c r="U85" s="693"/>
      <c r="V85" s="693"/>
      <c r="W85" s="693"/>
      <c r="X85" s="693"/>
      <c r="Y85" s="693"/>
      <c r="Z85" s="693"/>
    </row>
    <row r="86" ht="15.75" customHeight="1">
      <c r="A86" s="693"/>
      <c r="B86" s="693"/>
      <c r="C86" s="693"/>
      <c r="D86" s="693"/>
      <c r="E86" s="693"/>
      <c r="F86" s="693"/>
      <c r="G86" s="693"/>
      <c r="H86" s="693"/>
      <c r="I86" s="693"/>
      <c r="J86" s="693"/>
      <c r="K86" s="693"/>
      <c r="L86" s="693"/>
      <c r="M86" s="693"/>
      <c r="N86" s="693"/>
      <c r="O86" s="693"/>
      <c r="P86" s="693"/>
      <c r="Q86" s="693"/>
      <c r="R86" s="693"/>
      <c r="S86" s="693"/>
      <c r="T86" s="693"/>
      <c r="U86" s="693"/>
      <c r="V86" s="693"/>
      <c r="W86" s="693"/>
      <c r="X86" s="693"/>
      <c r="Y86" s="693"/>
      <c r="Z86" s="693"/>
    </row>
    <row r="87" ht="15.75" customHeight="1">
      <c r="A87" s="693"/>
      <c r="B87" s="693"/>
      <c r="C87" s="693"/>
      <c r="D87" s="693"/>
      <c r="E87" s="693"/>
      <c r="F87" s="693"/>
      <c r="G87" s="693"/>
      <c r="H87" s="693"/>
      <c r="I87" s="693"/>
      <c r="J87" s="693"/>
      <c r="K87" s="693"/>
      <c r="L87" s="693"/>
      <c r="M87" s="693"/>
      <c r="N87" s="693"/>
      <c r="O87" s="693"/>
      <c r="P87" s="693"/>
      <c r="Q87" s="693"/>
      <c r="R87" s="693"/>
      <c r="S87" s="693"/>
      <c r="T87" s="693"/>
      <c r="U87" s="693"/>
      <c r="V87" s="693"/>
      <c r="W87" s="693"/>
      <c r="X87" s="693"/>
      <c r="Y87" s="693"/>
      <c r="Z87" s="693"/>
    </row>
    <row r="88" ht="15.75" customHeight="1">
      <c r="A88" s="693"/>
      <c r="B88" s="693"/>
      <c r="C88" s="693"/>
      <c r="D88" s="693"/>
      <c r="E88" s="693"/>
      <c r="F88" s="693"/>
      <c r="G88" s="693"/>
      <c r="H88" s="693"/>
      <c r="I88" s="693"/>
      <c r="J88" s="693"/>
      <c r="K88" s="693"/>
      <c r="L88" s="693"/>
      <c r="M88" s="693"/>
      <c r="N88" s="693"/>
      <c r="O88" s="693"/>
      <c r="P88" s="693"/>
      <c r="Q88" s="693"/>
      <c r="R88" s="693"/>
      <c r="S88" s="693"/>
      <c r="T88" s="693"/>
      <c r="U88" s="693"/>
      <c r="V88" s="693"/>
      <c r="W88" s="693"/>
      <c r="X88" s="693"/>
      <c r="Y88" s="693"/>
      <c r="Z88" s="693"/>
    </row>
    <row r="89" ht="15.75" customHeight="1">
      <c r="A89" s="693"/>
      <c r="B89" s="693"/>
      <c r="C89" s="693"/>
      <c r="D89" s="693"/>
      <c r="E89" s="693"/>
      <c r="F89" s="693"/>
      <c r="G89" s="693"/>
      <c r="H89" s="693"/>
      <c r="I89" s="693"/>
      <c r="J89" s="693"/>
      <c r="K89" s="693"/>
      <c r="L89" s="693"/>
      <c r="M89" s="693"/>
      <c r="N89" s="693"/>
      <c r="O89" s="693"/>
      <c r="P89" s="693"/>
      <c r="Q89" s="693"/>
      <c r="R89" s="693"/>
      <c r="S89" s="693"/>
      <c r="T89" s="693"/>
      <c r="U89" s="693"/>
      <c r="V89" s="693"/>
      <c r="W89" s="693"/>
      <c r="X89" s="693"/>
      <c r="Y89" s="693"/>
      <c r="Z89" s="693"/>
    </row>
    <row r="90" ht="15.75" customHeight="1">
      <c r="A90" s="693"/>
      <c r="B90" s="693"/>
      <c r="C90" s="693"/>
      <c r="D90" s="693"/>
      <c r="E90" s="693"/>
      <c r="F90" s="693"/>
      <c r="G90" s="693"/>
      <c r="H90" s="693"/>
      <c r="I90" s="693"/>
      <c r="J90" s="693"/>
      <c r="K90" s="693"/>
      <c r="L90" s="693"/>
      <c r="M90" s="693"/>
      <c r="N90" s="693"/>
      <c r="O90" s="693"/>
      <c r="P90" s="693"/>
      <c r="Q90" s="693"/>
      <c r="R90" s="693"/>
      <c r="S90" s="693"/>
      <c r="T90" s="693"/>
      <c r="U90" s="693"/>
      <c r="V90" s="693"/>
      <c r="W90" s="693"/>
      <c r="X90" s="693"/>
      <c r="Y90" s="693"/>
      <c r="Z90" s="693"/>
    </row>
    <row r="91" ht="15.75" customHeight="1">
      <c r="A91" s="693"/>
      <c r="B91" s="693"/>
      <c r="C91" s="693"/>
      <c r="D91" s="693"/>
      <c r="E91" s="693"/>
      <c r="F91" s="693"/>
      <c r="G91" s="693"/>
      <c r="H91" s="693"/>
      <c r="I91" s="693"/>
      <c r="J91" s="693"/>
      <c r="K91" s="693"/>
      <c r="L91" s="693"/>
      <c r="M91" s="693"/>
      <c r="N91" s="693"/>
      <c r="O91" s="693"/>
      <c r="P91" s="693"/>
      <c r="Q91" s="693"/>
      <c r="R91" s="693"/>
      <c r="S91" s="693"/>
      <c r="T91" s="693"/>
      <c r="U91" s="693"/>
      <c r="V91" s="693"/>
      <c r="W91" s="693"/>
      <c r="X91" s="693"/>
      <c r="Y91" s="693"/>
      <c r="Z91" s="693"/>
    </row>
    <row r="92" ht="15.75" customHeight="1">
      <c r="A92" s="693"/>
      <c r="B92" s="693"/>
      <c r="C92" s="693"/>
      <c r="D92" s="693"/>
      <c r="E92" s="693"/>
      <c r="F92" s="693"/>
      <c r="G92" s="693"/>
      <c r="H92" s="693"/>
      <c r="I92" s="693"/>
      <c r="J92" s="693"/>
      <c r="K92" s="693"/>
      <c r="L92" s="693"/>
      <c r="M92" s="693"/>
      <c r="N92" s="693"/>
      <c r="O92" s="693"/>
      <c r="P92" s="693"/>
      <c r="Q92" s="693"/>
      <c r="R92" s="693"/>
      <c r="S92" s="693"/>
      <c r="T92" s="693"/>
      <c r="U92" s="693"/>
      <c r="V92" s="693"/>
      <c r="W92" s="693"/>
      <c r="X92" s="693"/>
      <c r="Y92" s="693"/>
      <c r="Z92" s="693"/>
    </row>
    <row r="93" ht="15.75" customHeight="1">
      <c r="A93" s="693"/>
      <c r="B93" s="693"/>
      <c r="C93" s="693"/>
      <c r="D93" s="693"/>
      <c r="E93" s="693"/>
      <c r="F93" s="693"/>
      <c r="G93" s="693"/>
      <c r="H93" s="693"/>
      <c r="I93" s="693"/>
      <c r="J93" s="693"/>
      <c r="K93" s="693"/>
      <c r="L93" s="693"/>
      <c r="M93" s="693"/>
      <c r="N93" s="693"/>
      <c r="O93" s="693"/>
      <c r="P93" s="693"/>
      <c r="Q93" s="693"/>
      <c r="R93" s="693"/>
      <c r="S93" s="693"/>
      <c r="T93" s="693"/>
      <c r="U93" s="693"/>
      <c r="V93" s="693"/>
      <c r="W93" s="693"/>
      <c r="X93" s="693"/>
      <c r="Y93" s="693"/>
      <c r="Z93" s="693"/>
    </row>
    <row r="94" ht="15.75" customHeight="1">
      <c r="A94" s="693"/>
      <c r="B94" s="693"/>
      <c r="C94" s="693"/>
      <c r="D94" s="693"/>
      <c r="E94" s="693"/>
      <c r="F94" s="693"/>
      <c r="G94" s="693"/>
      <c r="H94" s="693"/>
      <c r="I94" s="693"/>
      <c r="J94" s="693"/>
      <c r="K94" s="693"/>
      <c r="L94" s="693"/>
      <c r="M94" s="693"/>
      <c r="N94" s="693"/>
      <c r="O94" s="693"/>
      <c r="P94" s="693"/>
      <c r="Q94" s="693"/>
      <c r="R94" s="693"/>
      <c r="S94" s="693"/>
      <c r="T94" s="693"/>
      <c r="U94" s="693"/>
      <c r="V94" s="693"/>
      <c r="W94" s="693"/>
      <c r="X94" s="693"/>
      <c r="Y94" s="693"/>
      <c r="Z94" s="693"/>
    </row>
    <row r="95" ht="15.75" customHeight="1">
      <c r="A95" s="693"/>
      <c r="B95" s="693"/>
      <c r="C95" s="693"/>
      <c r="D95" s="693"/>
      <c r="E95" s="693"/>
      <c r="F95" s="693"/>
      <c r="G95" s="693"/>
      <c r="H95" s="693"/>
      <c r="I95" s="693"/>
      <c r="J95" s="693"/>
      <c r="K95" s="693"/>
      <c r="L95" s="693"/>
      <c r="M95" s="693"/>
      <c r="N95" s="693"/>
      <c r="O95" s="693"/>
      <c r="P95" s="693"/>
      <c r="Q95" s="693"/>
      <c r="R95" s="693"/>
      <c r="S95" s="693"/>
      <c r="T95" s="693"/>
      <c r="U95" s="693"/>
      <c r="V95" s="693"/>
      <c r="W95" s="693"/>
      <c r="X95" s="693"/>
      <c r="Y95" s="693"/>
      <c r="Z95" s="693"/>
    </row>
    <row r="96" ht="15.75" customHeight="1">
      <c r="A96" s="693"/>
      <c r="B96" s="693"/>
      <c r="C96" s="693"/>
      <c r="D96" s="693"/>
      <c r="E96" s="693"/>
      <c r="F96" s="693"/>
      <c r="G96" s="693"/>
      <c r="H96" s="693"/>
      <c r="I96" s="693"/>
      <c r="J96" s="693"/>
      <c r="K96" s="693"/>
      <c r="L96" s="693"/>
      <c r="M96" s="693"/>
      <c r="N96" s="693"/>
      <c r="O96" s="693"/>
      <c r="P96" s="693"/>
      <c r="Q96" s="693"/>
      <c r="R96" s="693"/>
      <c r="S96" s="693"/>
      <c r="T96" s="693"/>
      <c r="U96" s="693"/>
      <c r="V96" s="693"/>
      <c r="W96" s="693"/>
      <c r="X96" s="693"/>
      <c r="Y96" s="693"/>
      <c r="Z96" s="693"/>
    </row>
    <row r="97" ht="15.75" customHeight="1">
      <c r="A97" s="693"/>
      <c r="B97" s="693"/>
      <c r="C97" s="693"/>
      <c r="D97" s="693"/>
      <c r="E97" s="693"/>
      <c r="F97" s="693"/>
      <c r="G97" s="693"/>
      <c r="H97" s="693"/>
      <c r="I97" s="693"/>
      <c r="J97" s="693"/>
      <c r="K97" s="693"/>
      <c r="L97" s="693"/>
      <c r="M97" s="693"/>
      <c r="N97" s="693"/>
      <c r="O97" s="693"/>
      <c r="P97" s="693"/>
      <c r="Q97" s="693"/>
      <c r="R97" s="693"/>
      <c r="S97" s="693"/>
      <c r="T97" s="693"/>
      <c r="U97" s="693"/>
      <c r="V97" s="693"/>
      <c r="W97" s="693"/>
      <c r="X97" s="693"/>
      <c r="Y97" s="693"/>
      <c r="Z97" s="693"/>
    </row>
    <row r="98" ht="15.75" customHeight="1">
      <c r="A98" s="693"/>
      <c r="B98" s="693"/>
      <c r="C98" s="693"/>
      <c r="D98" s="693"/>
      <c r="E98" s="693"/>
      <c r="F98" s="693"/>
      <c r="G98" s="693"/>
      <c r="H98" s="693"/>
      <c r="I98" s="693"/>
      <c r="J98" s="693"/>
      <c r="K98" s="693"/>
      <c r="L98" s="693"/>
      <c r="M98" s="693"/>
      <c r="N98" s="693"/>
      <c r="O98" s="693"/>
      <c r="P98" s="693"/>
      <c r="Q98" s="693"/>
      <c r="R98" s="693"/>
      <c r="S98" s="693"/>
      <c r="T98" s="693"/>
      <c r="U98" s="693"/>
      <c r="V98" s="693"/>
      <c r="W98" s="693"/>
      <c r="X98" s="693"/>
      <c r="Y98" s="693"/>
      <c r="Z98" s="693"/>
    </row>
    <row r="99" ht="15.75" customHeight="1">
      <c r="A99" s="693"/>
      <c r="B99" s="693"/>
      <c r="C99" s="693"/>
      <c r="D99" s="693"/>
      <c r="E99" s="693"/>
      <c r="F99" s="693"/>
      <c r="G99" s="693"/>
      <c r="H99" s="693"/>
      <c r="I99" s="693"/>
      <c r="J99" s="693"/>
      <c r="K99" s="693"/>
      <c r="L99" s="693"/>
      <c r="M99" s="693"/>
      <c r="N99" s="693"/>
      <c r="O99" s="693"/>
      <c r="P99" s="693"/>
      <c r="Q99" s="693"/>
      <c r="R99" s="693"/>
      <c r="S99" s="693"/>
      <c r="T99" s="693"/>
      <c r="U99" s="693"/>
      <c r="V99" s="693"/>
      <c r="W99" s="693"/>
      <c r="X99" s="693"/>
      <c r="Y99" s="693"/>
      <c r="Z99" s="693"/>
    </row>
    <row r="100" ht="15.75" customHeight="1">
      <c r="A100" s="693"/>
      <c r="B100" s="693"/>
      <c r="C100" s="693"/>
      <c r="D100" s="693"/>
      <c r="E100" s="693"/>
      <c r="F100" s="693"/>
      <c r="G100" s="693"/>
      <c r="H100" s="693"/>
      <c r="I100" s="693"/>
      <c r="J100" s="693"/>
      <c r="K100" s="693"/>
      <c r="L100" s="693"/>
      <c r="M100" s="693"/>
      <c r="N100" s="693"/>
      <c r="O100" s="693"/>
      <c r="P100" s="693"/>
      <c r="Q100" s="693"/>
      <c r="R100" s="693"/>
      <c r="S100" s="693"/>
      <c r="T100" s="693"/>
      <c r="U100" s="693"/>
      <c r="V100" s="693"/>
      <c r="W100" s="693"/>
      <c r="X100" s="693"/>
      <c r="Y100" s="693"/>
      <c r="Z100" s="693"/>
    </row>
    <row r="101" ht="15.75" customHeight="1">
      <c r="A101" s="693"/>
      <c r="B101" s="693"/>
      <c r="C101" s="693"/>
      <c r="D101" s="693"/>
      <c r="E101" s="693"/>
      <c r="F101" s="693"/>
      <c r="G101" s="693"/>
      <c r="H101" s="693"/>
      <c r="I101" s="693"/>
      <c r="J101" s="693"/>
      <c r="K101" s="693"/>
      <c r="L101" s="693"/>
      <c r="M101" s="693"/>
      <c r="N101" s="693"/>
      <c r="O101" s="693"/>
      <c r="P101" s="693"/>
      <c r="Q101" s="693"/>
      <c r="R101" s="693"/>
      <c r="S101" s="693"/>
      <c r="T101" s="693"/>
      <c r="U101" s="693"/>
      <c r="V101" s="693"/>
      <c r="W101" s="693"/>
      <c r="X101" s="693"/>
      <c r="Y101" s="693"/>
      <c r="Z101" s="693"/>
    </row>
    <row r="102" ht="15.75" customHeight="1">
      <c r="A102" s="693"/>
      <c r="B102" s="693"/>
      <c r="C102" s="693"/>
      <c r="D102" s="693"/>
      <c r="E102" s="693"/>
      <c r="F102" s="693"/>
      <c r="G102" s="693"/>
      <c r="H102" s="693"/>
      <c r="I102" s="693"/>
      <c r="J102" s="693"/>
      <c r="K102" s="693"/>
      <c r="L102" s="693"/>
      <c r="M102" s="693"/>
      <c r="N102" s="693"/>
      <c r="O102" s="693"/>
      <c r="P102" s="693"/>
      <c r="Q102" s="693"/>
      <c r="R102" s="693"/>
      <c r="S102" s="693"/>
      <c r="T102" s="693"/>
      <c r="U102" s="693"/>
      <c r="V102" s="693"/>
      <c r="W102" s="693"/>
      <c r="X102" s="693"/>
      <c r="Y102" s="693"/>
      <c r="Z102" s="693"/>
    </row>
    <row r="103" ht="15.75" customHeight="1">
      <c r="A103" s="693"/>
      <c r="B103" s="693"/>
      <c r="C103" s="693"/>
      <c r="D103" s="693"/>
      <c r="E103" s="693"/>
      <c r="F103" s="693"/>
      <c r="G103" s="693"/>
      <c r="H103" s="693"/>
      <c r="I103" s="693"/>
      <c r="J103" s="693"/>
      <c r="K103" s="693"/>
      <c r="L103" s="693"/>
      <c r="M103" s="693"/>
      <c r="N103" s="693"/>
      <c r="O103" s="693"/>
      <c r="P103" s="693"/>
      <c r="Q103" s="693"/>
      <c r="R103" s="693"/>
      <c r="S103" s="693"/>
      <c r="T103" s="693"/>
      <c r="U103" s="693"/>
      <c r="V103" s="693"/>
      <c r="W103" s="693"/>
      <c r="X103" s="693"/>
      <c r="Y103" s="693"/>
      <c r="Z103" s="693"/>
    </row>
    <row r="104" ht="15.75" customHeight="1">
      <c r="A104" s="693"/>
      <c r="B104" s="693"/>
      <c r="C104" s="693"/>
      <c r="D104" s="693"/>
      <c r="E104" s="693"/>
      <c r="F104" s="693"/>
      <c r="G104" s="693"/>
      <c r="H104" s="693"/>
      <c r="I104" s="693"/>
      <c r="J104" s="693"/>
      <c r="K104" s="693"/>
      <c r="L104" s="693"/>
      <c r="M104" s="693"/>
      <c r="N104" s="693"/>
      <c r="O104" s="693"/>
      <c r="P104" s="693"/>
      <c r="Q104" s="693"/>
      <c r="R104" s="693"/>
      <c r="S104" s="693"/>
      <c r="T104" s="693"/>
      <c r="U104" s="693"/>
      <c r="V104" s="693"/>
      <c r="W104" s="693"/>
      <c r="X104" s="693"/>
      <c r="Y104" s="693"/>
      <c r="Z104" s="693"/>
    </row>
    <row r="105" ht="15.75" customHeight="1">
      <c r="A105" s="693"/>
      <c r="B105" s="693"/>
      <c r="C105" s="693"/>
      <c r="D105" s="693"/>
      <c r="E105" s="693"/>
      <c r="F105" s="693"/>
      <c r="G105" s="693"/>
      <c r="H105" s="693"/>
      <c r="I105" s="693"/>
      <c r="J105" s="693"/>
      <c r="K105" s="693"/>
      <c r="L105" s="693"/>
      <c r="M105" s="693"/>
      <c r="N105" s="693"/>
      <c r="O105" s="693"/>
      <c r="P105" s="693"/>
      <c r="Q105" s="693"/>
      <c r="R105" s="693"/>
      <c r="S105" s="693"/>
      <c r="T105" s="693"/>
      <c r="U105" s="693"/>
      <c r="V105" s="693"/>
      <c r="W105" s="693"/>
      <c r="X105" s="693"/>
      <c r="Y105" s="693"/>
      <c r="Z105" s="693"/>
    </row>
    <row r="106" ht="15.75" customHeight="1">
      <c r="A106" s="693"/>
      <c r="B106" s="693"/>
      <c r="C106" s="693"/>
      <c r="D106" s="693"/>
      <c r="E106" s="693"/>
      <c r="F106" s="693"/>
      <c r="G106" s="693"/>
      <c r="H106" s="693"/>
      <c r="I106" s="693"/>
      <c r="J106" s="693"/>
      <c r="K106" s="693"/>
      <c r="L106" s="693"/>
      <c r="M106" s="693"/>
      <c r="N106" s="693"/>
      <c r="O106" s="693"/>
      <c r="P106" s="693"/>
      <c r="Q106" s="693"/>
      <c r="R106" s="693"/>
      <c r="S106" s="693"/>
      <c r="T106" s="693"/>
      <c r="U106" s="693"/>
      <c r="V106" s="693"/>
      <c r="W106" s="693"/>
      <c r="X106" s="693"/>
      <c r="Y106" s="693"/>
      <c r="Z106" s="693"/>
    </row>
    <row r="107" ht="15.75" customHeight="1">
      <c r="A107" s="693"/>
      <c r="B107" s="693"/>
      <c r="C107" s="693"/>
      <c r="D107" s="693"/>
      <c r="E107" s="693"/>
      <c r="F107" s="693"/>
      <c r="G107" s="693"/>
      <c r="H107" s="693"/>
      <c r="I107" s="693"/>
      <c r="J107" s="693"/>
      <c r="K107" s="693"/>
      <c r="L107" s="693"/>
      <c r="M107" s="693"/>
      <c r="N107" s="693"/>
      <c r="O107" s="693"/>
      <c r="P107" s="693"/>
      <c r="Q107" s="693"/>
      <c r="R107" s="693"/>
      <c r="S107" s="693"/>
      <c r="T107" s="693"/>
      <c r="U107" s="693"/>
      <c r="V107" s="693"/>
      <c r="W107" s="693"/>
      <c r="X107" s="693"/>
      <c r="Y107" s="693"/>
      <c r="Z107" s="693"/>
    </row>
    <row r="108" ht="15.75" customHeight="1">
      <c r="A108" s="693"/>
      <c r="B108" s="693"/>
      <c r="C108" s="693"/>
      <c r="D108" s="693"/>
      <c r="E108" s="693"/>
      <c r="F108" s="693"/>
      <c r="G108" s="693"/>
      <c r="H108" s="693"/>
      <c r="I108" s="693"/>
      <c r="J108" s="693"/>
      <c r="K108" s="693"/>
      <c r="L108" s="693"/>
      <c r="M108" s="693"/>
      <c r="N108" s="693"/>
      <c r="O108" s="693"/>
      <c r="P108" s="693"/>
      <c r="Q108" s="693"/>
      <c r="R108" s="693"/>
      <c r="S108" s="693"/>
      <c r="T108" s="693"/>
      <c r="U108" s="693"/>
      <c r="V108" s="693"/>
      <c r="W108" s="693"/>
      <c r="X108" s="693"/>
      <c r="Y108" s="693"/>
      <c r="Z108" s="693"/>
    </row>
    <row r="109" ht="15.75" customHeight="1">
      <c r="A109" s="693"/>
      <c r="B109" s="693"/>
      <c r="C109" s="693"/>
      <c r="D109" s="693"/>
      <c r="E109" s="693"/>
      <c r="F109" s="693"/>
      <c r="G109" s="693"/>
      <c r="H109" s="693"/>
      <c r="I109" s="693"/>
      <c r="J109" s="693"/>
      <c r="K109" s="693"/>
      <c r="L109" s="693"/>
      <c r="M109" s="693"/>
      <c r="N109" s="693"/>
      <c r="O109" s="693"/>
      <c r="P109" s="693"/>
      <c r="Q109" s="693"/>
      <c r="R109" s="693"/>
      <c r="S109" s="693"/>
      <c r="T109" s="693"/>
      <c r="U109" s="693"/>
      <c r="V109" s="693"/>
      <c r="W109" s="693"/>
      <c r="X109" s="693"/>
      <c r="Y109" s="693"/>
      <c r="Z109" s="693"/>
    </row>
    <row r="110" ht="15.75" customHeight="1">
      <c r="A110" s="693"/>
      <c r="B110" s="693"/>
      <c r="C110" s="693"/>
      <c r="D110" s="693"/>
      <c r="E110" s="693"/>
      <c r="F110" s="693"/>
      <c r="G110" s="693"/>
      <c r="H110" s="693"/>
      <c r="I110" s="693"/>
      <c r="J110" s="693"/>
      <c r="K110" s="693"/>
      <c r="L110" s="693"/>
      <c r="M110" s="693"/>
      <c r="N110" s="693"/>
      <c r="O110" s="693"/>
      <c r="P110" s="693"/>
      <c r="Q110" s="693"/>
      <c r="R110" s="693"/>
      <c r="S110" s="693"/>
      <c r="T110" s="693"/>
      <c r="U110" s="693"/>
      <c r="V110" s="693"/>
      <c r="W110" s="693"/>
      <c r="X110" s="693"/>
      <c r="Y110" s="693"/>
      <c r="Z110" s="693"/>
    </row>
    <row r="111" ht="15.75" customHeight="1">
      <c r="A111" s="693"/>
      <c r="B111" s="693"/>
      <c r="C111" s="693"/>
      <c r="D111" s="693"/>
      <c r="E111" s="693"/>
      <c r="F111" s="693"/>
      <c r="G111" s="693"/>
      <c r="H111" s="693"/>
      <c r="I111" s="693"/>
      <c r="J111" s="693"/>
      <c r="K111" s="693"/>
      <c r="L111" s="693"/>
      <c r="M111" s="693"/>
      <c r="N111" s="693"/>
      <c r="O111" s="693"/>
      <c r="P111" s="693"/>
      <c r="Q111" s="693"/>
      <c r="R111" s="693"/>
      <c r="S111" s="693"/>
      <c r="T111" s="693"/>
      <c r="U111" s="693"/>
      <c r="V111" s="693"/>
      <c r="W111" s="693"/>
      <c r="X111" s="693"/>
      <c r="Y111" s="693"/>
      <c r="Z111" s="693"/>
    </row>
    <row r="112" ht="15.75" customHeight="1">
      <c r="A112" s="693"/>
      <c r="B112" s="693"/>
      <c r="C112" s="693"/>
      <c r="D112" s="693"/>
      <c r="E112" s="693"/>
      <c r="F112" s="693"/>
      <c r="G112" s="693"/>
      <c r="H112" s="693"/>
      <c r="I112" s="693"/>
      <c r="J112" s="693"/>
      <c r="K112" s="693"/>
      <c r="L112" s="693"/>
      <c r="M112" s="693"/>
      <c r="N112" s="693"/>
      <c r="O112" s="693"/>
      <c r="P112" s="693"/>
      <c r="Q112" s="693"/>
      <c r="R112" s="693"/>
      <c r="S112" s="693"/>
      <c r="T112" s="693"/>
      <c r="U112" s="693"/>
      <c r="V112" s="693"/>
      <c r="W112" s="693"/>
      <c r="X112" s="693"/>
      <c r="Y112" s="693"/>
      <c r="Z112" s="693"/>
    </row>
    <row r="113" ht="15.75" customHeight="1">
      <c r="A113" s="693"/>
      <c r="B113" s="693"/>
      <c r="C113" s="693"/>
      <c r="D113" s="693"/>
      <c r="E113" s="693"/>
      <c r="F113" s="693"/>
      <c r="G113" s="693"/>
      <c r="H113" s="693"/>
      <c r="I113" s="693"/>
      <c r="J113" s="693"/>
      <c r="K113" s="693"/>
      <c r="L113" s="693"/>
      <c r="M113" s="693"/>
      <c r="N113" s="693"/>
      <c r="O113" s="693"/>
      <c r="P113" s="693"/>
      <c r="Q113" s="693"/>
      <c r="R113" s="693"/>
      <c r="S113" s="693"/>
      <c r="T113" s="693"/>
      <c r="U113" s="693"/>
      <c r="V113" s="693"/>
      <c r="W113" s="693"/>
      <c r="X113" s="693"/>
      <c r="Y113" s="693"/>
      <c r="Z113" s="693"/>
    </row>
    <row r="114" ht="15.75" customHeight="1">
      <c r="A114" s="693"/>
      <c r="B114" s="693"/>
      <c r="C114" s="693"/>
      <c r="D114" s="693"/>
      <c r="E114" s="693"/>
      <c r="F114" s="693"/>
      <c r="G114" s="693"/>
      <c r="H114" s="693"/>
      <c r="I114" s="693"/>
      <c r="J114" s="693"/>
      <c r="K114" s="693"/>
      <c r="L114" s="693"/>
      <c r="M114" s="693"/>
      <c r="N114" s="693"/>
      <c r="O114" s="693"/>
      <c r="P114" s="693"/>
      <c r="Q114" s="693"/>
      <c r="R114" s="693"/>
      <c r="S114" s="693"/>
      <c r="T114" s="693"/>
      <c r="U114" s="693"/>
      <c r="V114" s="693"/>
      <c r="W114" s="693"/>
      <c r="X114" s="693"/>
      <c r="Y114" s="693"/>
      <c r="Z114" s="693"/>
    </row>
    <row r="115" ht="15.75" customHeight="1">
      <c r="A115" s="693"/>
      <c r="B115" s="693"/>
      <c r="C115" s="693"/>
      <c r="D115" s="693"/>
      <c r="E115" s="693"/>
      <c r="F115" s="693"/>
      <c r="G115" s="693"/>
      <c r="H115" s="693"/>
      <c r="I115" s="693"/>
      <c r="J115" s="693"/>
      <c r="K115" s="693"/>
      <c r="L115" s="693"/>
      <c r="M115" s="693"/>
      <c r="N115" s="693"/>
      <c r="O115" s="693"/>
      <c r="P115" s="693"/>
      <c r="Q115" s="693"/>
      <c r="R115" s="693"/>
      <c r="S115" s="693"/>
      <c r="T115" s="693"/>
      <c r="U115" s="693"/>
      <c r="V115" s="693"/>
      <c r="W115" s="693"/>
      <c r="X115" s="693"/>
      <c r="Y115" s="693"/>
      <c r="Z115" s="693"/>
    </row>
    <row r="116" ht="15.75" customHeight="1">
      <c r="A116" s="693"/>
      <c r="B116" s="693"/>
      <c r="C116" s="693"/>
      <c r="D116" s="693"/>
      <c r="E116" s="693"/>
      <c r="F116" s="693"/>
      <c r="G116" s="693"/>
      <c r="H116" s="693"/>
      <c r="I116" s="693"/>
      <c r="J116" s="693"/>
      <c r="K116" s="693"/>
      <c r="L116" s="693"/>
      <c r="M116" s="693"/>
      <c r="N116" s="693"/>
      <c r="O116" s="693"/>
      <c r="P116" s="693"/>
      <c r="Q116" s="693"/>
      <c r="R116" s="693"/>
      <c r="S116" s="693"/>
      <c r="T116" s="693"/>
      <c r="U116" s="693"/>
      <c r="V116" s="693"/>
      <c r="W116" s="693"/>
      <c r="X116" s="693"/>
      <c r="Y116" s="693"/>
      <c r="Z116" s="693"/>
    </row>
    <row r="117" ht="15.75" customHeight="1">
      <c r="A117" s="693"/>
      <c r="B117" s="693"/>
      <c r="C117" s="693"/>
      <c r="D117" s="693"/>
      <c r="E117" s="693"/>
      <c r="F117" s="693"/>
      <c r="G117" s="693"/>
      <c r="H117" s="693"/>
      <c r="I117" s="693"/>
      <c r="J117" s="693"/>
      <c r="K117" s="693"/>
      <c r="L117" s="693"/>
      <c r="M117" s="693"/>
      <c r="N117" s="693"/>
      <c r="O117" s="693"/>
      <c r="P117" s="693"/>
      <c r="Q117" s="693"/>
      <c r="R117" s="693"/>
      <c r="S117" s="693"/>
      <c r="T117" s="693"/>
      <c r="U117" s="693"/>
      <c r="V117" s="693"/>
      <c r="W117" s="693"/>
      <c r="X117" s="693"/>
      <c r="Y117" s="693"/>
      <c r="Z117" s="693"/>
    </row>
    <row r="118" ht="15.75" customHeight="1">
      <c r="A118" s="693"/>
      <c r="B118" s="693"/>
      <c r="C118" s="693"/>
      <c r="D118" s="693"/>
      <c r="E118" s="693"/>
      <c r="F118" s="693"/>
      <c r="G118" s="693"/>
      <c r="H118" s="693"/>
      <c r="I118" s="693"/>
      <c r="J118" s="693"/>
      <c r="K118" s="693"/>
      <c r="L118" s="693"/>
      <c r="M118" s="693"/>
      <c r="N118" s="693"/>
      <c r="O118" s="693"/>
      <c r="P118" s="693"/>
      <c r="Q118" s="693"/>
      <c r="R118" s="693"/>
      <c r="S118" s="693"/>
      <c r="T118" s="693"/>
      <c r="U118" s="693"/>
      <c r="V118" s="693"/>
      <c r="W118" s="693"/>
      <c r="X118" s="693"/>
      <c r="Y118" s="693"/>
      <c r="Z118" s="693"/>
    </row>
    <row r="119" ht="15.75" customHeight="1">
      <c r="A119" s="693"/>
      <c r="B119" s="693"/>
      <c r="C119" s="693"/>
      <c r="D119" s="693"/>
      <c r="E119" s="693"/>
      <c r="F119" s="693"/>
      <c r="G119" s="693"/>
      <c r="H119" s="693"/>
      <c r="I119" s="693"/>
      <c r="J119" s="693"/>
      <c r="K119" s="693"/>
      <c r="L119" s="693"/>
      <c r="M119" s="693"/>
      <c r="N119" s="693"/>
      <c r="O119" s="693"/>
      <c r="P119" s="693"/>
      <c r="Q119" s="693"/>
      <c r="R119" s="693"/>
      <c r="S119" s="693"/>
      <c r="T119" s="693"/>
      <c r="U119" s="693"/>
      <c r="V119" s="693"/>
      <c r="W119" s="693"/>
      <c r="X119" s="693"/>
      <c r="Y119" s="693"/>
      <c r="Z119" s="693"/>
    </row>
    <row r="120" ht="15.75" customHeight="1">
      <c r="A120" s="693"/>
      <c r="B120" s="693"/>
      <c r="C120" s="693"/>
      <c r="D120" s="693"/>
      <c r="E120" s="693"/>
      <c r="F120" s="693"/>
      <c r="G120" s="693"/>
      <c r="H120" s="693"/>
      <c r="I120" s="693"/>
      <c r="J120" s="693"/>
      <c r="K120" s="693"/>
      <c r="L120" s="693"/>
      <c r="M120" s="693"/>
      <c r="N120" s="693"/>
      <c r="O120" s="693"/>
      <c r="P120" s="693"/>
      <c r="Q120" s="693"/>
      <c r="R120" s="693"/>
      <c r="S120" s="693"/>
      <c r="T120" s="693"/>
      <c r="U120" s="693"/>
      <c r="V120" s="693"/>
      <c r="W120" s="693"/>
      <c r="X120" s="693"/>
      <c r="Y120" s="693"/>
      <c r="Z120" s="693"/>
    </row>
    <row r="121" ht="15.75" customHeight="1">
      <c r="A121" s="693"/>
      <c r="B121" s="693"/>
      <c r="C121" s="693"/>
      <c r="D121" s="693"/>
      <c r="E121" s="693"/>
      <c r="F121" s="693"/>
      <c r="G121" s="693"/>
      <c r="H121" s="693"/>
      <c r="I121" s="693"/>
      <c r="J121" s="693"/>
      <c r="K121" s="693"/>
      <c r="L121" s="693"/>
      <c r="M121" s="693"/>
      <c r="N121" s="693"/>
      <c r="O121" s="693"/>
      <c r="P121" s="693"/>
      <c r="Q121" s="693"/>
      <c r="R121" s="693"/>
      <c r="S121" s="693"/>
      <c r="T121" s="693"/>
      <c r="U121" s="693"/>
      <c r="V121" s="693"/>
      <c r="W121" s="693"/>
      <c r="X121" s="693"/>
      <c r="Y121" s="693"/>
      <c r="Z121" s="693"/>
    </row>
    <row r="122" ht="15.75" customHeight="1">
      <c r="A122" s="693"/>
      <c r="B122" s="693"/>
      <c r="C122" s="693"/>
      <c r="D122" s="693"/>
      <c r="E122" s="693"/>
      <c r="F122" s="693"/>
      <c r="G122" s="693"/>
      <c r="H122" s="693"/>
      <c r="I122" s="693"/>
      <c r="J122" s="693"/>
      <c r="K122" s="693"/>
      <c r="L122" s="693"/>
      <c r="M122" s="693"/>
      <c r="N122" s="693"/>
      <c r="O122" s="693"/>
      <c r="P122" s="693"/>
      <c r="Q122" s="693"/>
      <c r="R122" s="693"/>
      <c r="S122" s="693"/>
      <c r="T122" s="693"/>
      <c r="U122" s="693"/>
      <c r="V122" s="693"/>
      <c r="W122" s="693"/>
      <c r="X122" s="693"/>
      <c r="Y122" s="693"/>
      <c r="Z122" s="693"/>
    </row>
    <row r="123" ht="15.75" customHeight="1">
      <c r="A123" s="693"/>
      <c r="B123" s="693"/>
      <c r="C123" s="693"/>
      <c r="D123" s="693"/>
      <c r="E123" s="693"/>
      <c r="F123" s="693"/>
      <c r="G123" s="693"/>
      <c r="H123" s="693"/>
      <c r="I123" s="693"/>
      <c r="J123" s="693"/>
      <c r="K123" s="693"/>
      <c r="L123" s="693"/>
      <c r="M123" s="693"/>
      <c r="N123" s="693"/>
      <c r="O123" s="693"/>
      <c r="P123" s="693"/>
      <c r="Q123" s="693"/>
      <c r="R123" s="693"/>
      <c r="S123" s="693"/>
      <c r="T123" s="693"/>
      <c r="U123" s="693"/>
      <c r="V123" s="693"/>
      <c r="W123" s="693"/>
      <c r="X123" s="693"/>
      <c r="Y123" s="693"/>
      <c r="Z123" s="693"/>
    </row>
    <row r="124" ht="15.75" customHeight="1">
      <c r="A124" s="693"/>
      <c r="B124" s="693"/>
      <c r="C124" s="693"/>
      <c r="D124" s="693"/>
      <c r="E124" s="693"/>
      <c r="F124" s="693"/>
      <c r="G124" s="693"/>
      <c r="H124" s="693"/>
      <c r="I124" s="693"/>
      <c r="J124" s="693"/>
      <c r="K124" s="693"/>
      <c r="L124" s="693"/>
      <c r="M124" s="693"/>
      <c r="N124" s="693"/>
      <c r="O124" s="693"/>
      <c r="P124" s="693"/>
      <c r="Q124" s="693"/>
      <c r="R124" s="693"/>
      <c r="S124" s="693"/>
      <c r="T124" s="693"/>
      <c r="U124" s="693"/>
      <c r="V124" s="693"/>
      <c r="W124" s="693"/>
      <c r="X124" s="693"/>
      <c r="Y124" s="693"/>
      <c r="Z124" s="693"/>
    </row>
    <row r="125" ht="15.75" customHeight="1">
      <c r="A125" s="693"/>
      <c r="B125" s="693"/>
      <c r="C125" s="693"/>
      <c r="D125" s="693"/>
      <c r="E125" s="693"/>
      <c r="F125" s="693"/>
      <c r="G125" s="693"/>
      <c r="H125" s="693"/>
      <c r="I125" s="693"/>
      <c r="J125" s="693"/>
      <c r="K125" s="693"/>
      <c r="L125" s="693"/>
      <c r="M125" s="693"/>
      <c r="N125" s="693"/>
      <c r="O125" s="693"/>
      <c r="P125" s="693"/>
      <c r="Q125" s="693"/>
      <c r="R125" s="693"/>
      <c r="S125" s="693"/>
      <c r="T125" s="693"/>
      <c r="U125" s="693"/>
      <c r="V125" s="693"/>
      <c r="W125" s="693"/>
      <c r="X125" s="693"/>
      <c r="Y125" s="693"/>
      <c r="Z125" s="693"/>
    </row>
    <row r="126" ht="15.75" customHeight="1">
      <c r="A126" s="693"/>
      <c r="B126" s="693"/>
      <c r="C126" s="693"/>
      <c r="D126" s="693"/>
      <c r="E126" s="693"/>
      <c r="F126" s="693"/>
      <c r="G126" s="693"/>
      <c r="H126" s="693"/>
      <c r="I126" s="693"/>
      <c r="J126" s="693"/>
      <c r="K126" s="693"/>
      <c r="L126" s="693"/>
      <c r="M126" s="693"/>
      <c r="N126" s="693"/>
      <c r="O126" s="693"/>
      <c r="P126" s="693"/>
      <c r="Q126" s="693"/>
      <c r="R126" s="693"/>
      <c r="S126" s="693"/>
      <c r="T126" s="693"/>
      <c r="U126" s="693"/>
      <c r="V126" s="693"/>
      <c r="W126" s="693"/>
      <c r="X126" s="693"/>
      <c r="Y126" s="693"/>
      <c r="Z126" s="693"/>
    </row>
    <row r="127" ht="15.75" customHeight="1">
      <c r="A127" s="693"/>
      <c r="B127" s="693"/>
      <c r="C127" s="693"/>
      <c r="D127" s="693"/>
      <c r="E127" s="693"/>
      <c r="F127" s="693"/>
      <c r="G127" s="693"/>
      <c r="H127" s="693"/>
      <c r="I127" s="693"/>
      <c r="J127" s="693"/>
      <c r="K127" s="693"/>
      <c r="L127" s="693"/>
      <c r="M127" s="693"/>
      <c r="N127" s="693"/>
      <c r="O127" s="693"/>
      <c r="P127" s="693"/>
      <c r="Q127" s="693"/>
      <c r="R127" s="693"/>
      <c r="S127" s="693"/>
      <c r="T127" s="693"/>
      <c r="U127" s="693"/>
      <c r="V127" s="693"/>
      <c r="W127" s="693"/>
      <c r="X127" s="693"/>
      <c r="Y127" s="693"/>
      <c r="Z127" s="693"/>
    </row>
    <row r="128" ht="15.75" customHeight="1">
      <c r="A128" s="693"/>
      <c r="B128" s="693"/>
      <c r="C128" s="693"/>
      <c r="D128" s="693"/>
      <c r="E128" s="693"/>
      <c r="F128" s="693"/>
      <c r="G128" s="693"/>
      <c r="H128" s="693"/>
      <c r="I128" s="693"/>
      <c r="J128" s="693"/>
      <c r="K128" s="693"/>
      <c r="L128" s="693"/>
      <c r="M128" s="693"/>
      <c r="N128" s="693"/>
      <c r="O128" s="693"/>
      <c r="P128" s="693"/>
      <c r="Q128" s="693"/>
      <c r="R128" s="693"/>
      <c r="S128" s="693"/>
      <c r="T128" s="693"/>
      <c r="U128" s="693"/>
      <c r="V128" s="693"/>
      <c r="W128" s="693"/>
      <c r="X128" s="693"/>
      <c r="Y128" s="693"/>
      <c r="Z128" s="693"/>
    </row>
    <row r="129" ht="15.75" customHeight="1">
      <c r="A129" s="693"/>
      <c r="B129" s="693"/>
      <c r="C129" s="693"/>
      <c r="D129" s="693"/>
      <c r="E129" s="693"/>
      <c r="F129" s="693"/>
      <c r="G129" s="693"/>
      <c r="H129" s="693"/>
      <c r="I129" s="693"/>
      <c r="J129" s="693"/>
      <c r="K129" s="693"/>
      <c r="L129" s="693"/>
      <c r="M129" s="693"/>
      <c r="N129" s="693"/>
      <c r="O129" s="693"/>
      <c r="P129" s="693"/>
      <c r="Q129" s="693"/>
      <c r="R129" s="693"/>
      <c r="S129" s="693"/>
      <c r="T129" s="693"/>
      <c r="U129" s="693"/>
      <c r="V129" s="693"/>
      <c r="W129" s="693"/>
      <c r="X129" s="693"/>
      <c r="Y129" s="693"/>
      <c r="Z129" s="693"/>
    </row>
    <row r="130" ht="15.75" customHeight="1">
      <c r="A130" s="693"/>
      <c r="B130" s="693"/>
      <c r="C130" s="693"/>
      <c r="D130" s="693"/>
      <c r="E130" s="693"/>
      <c r="F130" s="693"/>
      <c r="G130" s="693"/>
      <c r="H130" s="693"/>
      <c r="I130" s="693"/>
      <c r="J130" s="693"/>
      <c r="K130" s="693"/>
      <c r="L130" s="693"/>
      <c r="M130" s="693"/>
      <c r="N130" s="693"/>
      <c r="O130" s="693"/>
      <c r="P130" s="693"/>
      <c r="Q130" s="693"/>
      <c r="R130" s="693"/>
      <c r="S130" s="693"/>
      <c r="T130" s="693"/>
      <c r="U130" s="693"/>
      <c r="V130" s="693"/>
      <c r="W130" s="693"/>
      <c r="X130" s="693"/>
      <c r="Y130" s="693"/>
      <c r="Z130" s="693"/>
    </row>
    <row r="131" ht="15.75" customHeight="1">
      <c r="A131" s="693"/>
      <c r="B131" s="693"/>
      <c r="C131" s="693"/>
      <c r="D131" s="693"/>
      <c r="E131" s="693"/>
      <c r="F131" s="693"/>
      <c r="G131" s="693"/>
      <c r="H131" s="693"/>
      <c r="I131" s="693"/>
      <c r="J131" s="693"/>
      <c r="K131" s="693"/>
      <c r="L131" s="693"/>
      <c r="M131" s="693"/>
      <c r="N131" s="693"/>
      <c r="O131" s="693"/>
      <c r="P131" s="693"/>
      <c r="Q131" s="693"/>
      <c r="R131" s="693"/>
      <c r="S131" s="693"/>
      <c r="T131" s="693"/>
      <c r="U131" s="693"/>
      <c r="V131" s="693"/>
      <c r="W131" s="693"/>
      <c r="X131" s="693"/>
      <c r="Y131" s="693"/>
      <c r="Z131" s="693"/>
    </row>
    <row r="132" ht="15.75" customHeight="1">
      <c r="A132" s="693"/>
      <c r="B132" s="693"/>
      <c r="C132" s="693"/>
      <c r="D132" s="693"/>
      <c r="E132" s="693"/>
      <c r="F132" s="693"/>
      <c r="G132" s="693"/>
      <c r="H132" s="693"/>
      <c r="I132" s="693"/>
      <c r="J132" s="693"/>
      <c r="K132" s="693"/>
      <c r="L132" s="693"/>
      <c r="M132" s="693"/>
      <c r="N132" s="693"/>
      <c r="O132" s="693"/>
      <c r="P132" s="693"/>
      <c r="Q132" s="693"/>
      <c r="R132" s="693"/>
      <c r="S132" s="693"/>
      <c r="T132" s="693"/>
      <c r="U132" s="693"/>
      <c r="V132" s="693"/>
      <c r="W132" s="693"/>
      <c r="X132" s="693"/>
      <c r="Y132" s="693"/>
      <c r="Z132" s="693"/>
    </row>
    <row r="133" ht="15.75" customHeight="1">
      <c r="A133" s="693"/>
      <c r="B133" s="693"/>
      <c r="C133" s="693"/>
      <c r="D133" s="693"/>
      <c r="E133" s="693"/>
      <c r="F133" s="693"/>
      <c r="G133" s="693"/>
      <c r="H133" s="693"/>
      <c r="I133" s="693"/>
      <c r="J133" s="693"/>
      <c r="K133" s="693"/>
      <c r="L133" s="693"/>
      <c r="M133" s="693"/>
      <c r="N133" s="693"/>
      <c r="O133" s="693"/>
      <c r="P133" s="693"/>
      <c r="Q133" s="693"/>
      <c r="R133" s="693"/>
      <c r="S133" s="693"/>
      <c r="T133" s="693"/>
      <c r="U133" s="693"/>
      <c r="V133" s="693"/>
      <c r="W133" s="693"/>
      <c r="X133" s="693"/>
      <c r="Y133" s="693"/>
      <c r="Z133" s="693"/>
    </row>
    <row r="134" ht="15.75" customHeight="1">
      <c r="A134" s="693"/>
      <c r="B134" s="693"/>
      <c r="C134" s="693"/>
      <c r="D134" s="693"/>
      <c r="E134" s="693"/>
      <c r="F134" s="693"/>
      <c r="G134" s="693"/>
      <c r="H134" s="693"/>
      <c r="I134" s="693"/>
      <c r="J134" s="693"/>
      <c r="K134" s="693"/>
      <c r="L134" s="693"/>
      <c r="M134" s="693"/>
      <c r="N134" s="693"/>
      <c r="O134" s="693"/>
      <c r="P134" s="693"/>
      <c r="Q134" s="693"/>
      <c r="R134" s="693"/>
      <c r="S134" s="693"/>
      <c r="T134" s="693"/>
      <c r="U134" s="693"/>
      <c r="V134" s="693"/>
      <c r="W134" s="693"/>
      <c r="X134" s="693"/>
      <c r="Y134" s="693"/>
      <c r="Z134" s="693"/>
    </row>
    <row r="135" ht="15.75" customHeight="1">
      <c r="A135" s="693"/>
      <c r="B135" s="693"/>
      <c r="C135" s="693"/>
      <c r="D135" s="693"/>
      <c r="E135" s="693"/>
      <c r="F135" s="693"/>
      <c r="G135" s="693"/>
      <c r="H135" s="693"/>
      <c r="I135" s="693"/>
      <c r="J135" s="693"/>
      <c r="K135" s="693"/>
      <c r="L135" s="693"/>
      <c r="M135" s="693"/>
      <c r="N135" s="693"/>
      <c r="O135" s="693"/>
      <c r="P135" s="693"/>
      <c r="Q135" s="693"/>
      <c r="R135" s="693"/>
      <c r="S135" s="693"/>
      <c r="T135" s="693"/>
      <c r="U135" s="693"/>
      <c r="V135" s="693"/>
      <c r="W135" s="693"/>
      <c r="X135" s="693"/>
      <c r="Y135" s="693"/>
      <c r="Z135" s="693"/>
    </row>
    <row r="136" ht="15.75" customHeight="1">
      <c r="A136" s="693"/>
      <c r="B136" s="693"/>
      <c r="C136" s="693"/>
      <c r="D136" s="693"/>
      <c r="E136" s="693"/>
      <c r="F136" s="693"/>
      <c r="G136" s="693"/>
      <c r="H136" s="693"/>
      <c r="I136" s="693"/>
      <c r="J136" s="693"/>
      <c r="K136" s="693"/>
      <c r="L136" s="693"/>
      <c r="M136" s="693"/>
      <c r="N136" s="693"/>
      <c r="O136" s="693"/>
      <c r="P136" s="693"/>
      <c r="Q136" s="693"/>
      <c r="R136" s="693"/>
      <c r="S136" s="693"/>
      <c r="T136" s="693"/>
      <c r="U136" s="693"/>
      <c r="V136" s="693"/>
      <c r="W136" s="693"/>
      <c r="X136" s="693"/>
      <c r="Y136" s="693"/>
      <c r="Z136" s="693"/>
    </row>
    <row r="137" ht="15.75" customHeight="1">
      <c r="A137" s="693"/>
      <c r="B137" s="693"/>
      <c r="C137" s="693"/>
      <c r="D137" s="693"/>
      <c r="E137" s="693"/>
      <c r="F137" s="693"/>
      <c r="G137" s="693"/>
      <c r="H137" s="693"/>
      <c r="I137" s="693"/>
      <c r="J137" s="693"/>
      <c r="K137" s="693"/>
      <c r="L137" s="693"/>
      <c r="M137" s="693"/>
      <c r="N137" s="693"/>
      <c r="O137" s="693"/>
      <c r="P137" s="693"/>
      <c r="Q137" s="693"/>
      <c r="R137" s="693"/>
      <c r="S137" s="693"/>
      <c r="T137" s="693"/>
      <c r="U137" s="693"/>
      <c r="V137" s="693"/>
      <c r="W137" s="693"/>
      <c r="X137" s="693"/>
      <c r="Y137" s="693"/>
      <c r="Z137" s="693"/>
    </row>
    <row r="138" ht="15.75" customHeight="1">
      <c r="A138" s="693"/>
      <c r="B138" s="693"/>
      <c r="C138" s="693"/>
      <c r="D138" s="693"/>
      <c r="E138" s="693"/>
      <c r="F138" s="693"/>
      <c r="G138" s="693"/>
      <c r="H138" s="693"/>
      <c r="I138" s="693"/>
      <c r="J138" s="693"/>
      <c r="K138" s="693"/>
      <c r="L138" s="693"/>
      <c r="M138" s="693"/>
      <c r="N138" s="693"/>
      <c r="O138" s="693"/>
      <c r="P138" s="693"/>
      <c r="Q138" s="693"/>
      <c r="R138" s="693"/>
      <c r="S138" s="693"/>
      <c r="T138" s="693"/>
      <c r="U138" s="693"/>
      <c r="V138" s="693"/>
      <c r="W138" s="693"/>
      <c r="X138" s="693"/>
      <c r="Y138" s="693"/>
      <c r="Z138" s="693"/>
    </row>
    <row r="139" ht="15.75" customHeight="1">
      <c r="A139" s="693"/>
      <c r="B139" s="693"/>
      <c r="C139" s="693"/>
      <c r="D139" s="693"/>
      <c r="E139" s="693"/>
      <c r="F139" s="693"/>
      <c r="G139" s="693"/>
      <c r="H139" s="693"/>
      <c r="I139" s="693"/>
      <c r="J139" s="693"/>
      <c r="K139" s="693"/>
      <c r="L139" s="693"/>
      <c r="M139" s="693"/>
      <c r="N139" s="693"/>
      <c r="O139" s="693"/>
      <c r="P139" s="693"/>
      <c r="Q139" s="693"/>
      <c r="R139" s="693"/>
      <c r="S139" s="693"/>
      <c r="T139" s="693"/>
      <c r="U139" s="693"/>
      <c r="V139" s="693"/>
      <c r="W139" s="693"/>
      <c r="X139" s="693"/>
      <c r="Y139" s="693"/>
      <c r="Z139" s="693"/>
    </row>
    <row r="140" ht="15.75" customHeight="1">
      <c r="A140" s="693"/>
      <c r="B140" s="693"/>
      <c r="C140" s="693"/>
      <c r="D140" s="693"/>
      <c r="E140" s="693"/>
      <c r="F140" s="693"/>
      <c r="G140" s="693"/>
      <c r="H140" s="693"/>
      <c r="I140" s="693"/>
      <c r="J140" s="693"/>
      <c r="K140" s="693"/>
      <c r="L140" s="693"/>
      <c r="M140" s="693"/>
      <c r="N140" s="693"/>
      <c r="O140" s="693"/>
      <c r="P140" s="693"/>
      <c r="Q140" s="693"/>
      <c r="R140" s="693"/>
      <c r="S140" s="693"/>
      <c r="T140" s="693"/>
      <c r="U140" s="693"/>
      <c r="V140" s="693"/>
      <c r="W140" s="693"/>
      <c r="X140" s="693"/>
      <c r="Y140" s="693"/>
      <c r="Z140" s="693"/>
    </row>
    <row r="141" ht="15.75" customHeight="1">
      <c r="A141" s="693"/>
      <c r="B141" s="693"/>
      <c r="C141" s="693"/>
      <c r="D141" s="693"/>
      <c r="E141" s="693"/>
      <c r="F141" s="693"/>
      <c r="G141" s="693"/>
      <c r="H141" s="693"/>
      <c r="I141" s="693"/>
      <c r="J141" s="693"/>
      <c r="K141" s="693"/>
      <c r="L141" s="693"/>
      <c r="M141" s="693"/>
      <c r="N141" s="693"/>
      <c r="O141" s="693"/>
      <c r="P141" s="693"/>
      <c r="Q141" s="693"/>
      <c r="R141" s="693"/>
      <c r="S141" s="693"/>
      <c r="T141" s="693"/>
      <c r="U141" s="693"/>
      <c r="V141" s="693"/>
      <c r="W141" s="693"/>
      <c r="X141" s="693"/>
      <c r="Y141" s="693"/>
      <c r="Z141" s="693"/>
    </row>
    <row r="142" ht="15.75" customHeight="1">
      <c r="A142" s="693"/>
      <c r="B142" s="693"/>
      <c r="C142" s="693"/>
      <c r="D142" s="693"/>
      <c r="E142" s="693"/>
      <c r="F142" s="693"/>
      <c r="G142" s="693"/>
      <c r="H142" s="693"/>
      <c r="I142" s="693"/>
      <c r="J142" s="693"/>
      <c r="K142" s="693"/>
      <c r="L142" s="693"/>
      <c r="M142" s="693"/>
      <c r="N142" s="693"/>
      <c r="O142" s="693"/>
      <c r="P142" s="693"/>
      <c r="Q142" s="693"/>
      <c r="R142" s="693"/>
      <c r="S142" s="693"/>
      <c r="T142" s="693"/>
      <c r="U142" s="693"/>
      <c r="V142" s="693"/>
      <c r="W142" s="693"/>
      <c r="X142" s="693"/>
      <c r="Y142" s="693"/>
      <c r="Z142" s="693"/>
    </row>
    <row r="143" ht="15.75" customHeight="1">
      <c r="A143" s="693"/>
      <c r="B143" s="693"/>
      <c r="C143" s="693"/>
      <c r="D143" s="693"/>
      <c r="E143" s="693"/>
      <c r="F143" s="693"/>
      <c r="G143" s="693"/>
      <c r="H143" s="693"/>
      <c r="I143" s="693"/>
      <c r="J143" s="693"/>
      <c r="K143" s="693"/>
      <c r="L143" s="693"/>
      <c r="M143" s="693"/>
      <c r="N143" s="693"/>
      <c r="O143" s="693"/>
      <c r="P143" s="693"/>
      <c r="Q143" s="693"/>
      <c r="R143" s="693"/>
      <c r="S143" s="693"/>
      <c r="T143" s="693"/>
      <c r="U143" s="693"/>
      <c r="V143" s="693"/>
      <c r="W143" s="693"/>
      <c r="X143" s="693"/>
      <c r="Y143" s="693"/>
      <c r="Z143" s="693"/>
    </row>
    <row r="144" ht="15.75" customHeight="1">
      <c r="A144" s="693"/>
      <c r="B144" s="693"/>
      <c r="C144" s="693"/>
      <c r="D144" s="693"/>
      <c r="E144" s="693"/>
      <c r="F144" s="693"/>
      <c r="G144" s="693"/>
      <c r="H144" s="693"/>
      <c r="I144" s="693"/>
      <c r="J144" s="693"/>
      <c r="K144" s="693"/>
      <c r="L144" s="693"/>
      <c r="M144" s="693"/>
      <c r="N144" s="693"/>
      <c r="O144" s="693"/>
      <c r="P144" s="693"/>
      <c r="Q144" s="693"/>
      <c r="R144" s="693"/>
      <c r="S144" s="693"/>
      <c r="T144" s="693"/>
      <c r="U144" s="693"/>
      <c r="V144" s="693"/>
      <c r="W144" s="693"/>
      <c r="X144" s="693"/>
      <c r="Y144" s="693"/>
      <c r="Z144" s="693"/>
    </row>
    <row r="145" ht="15.75" customHeight="1">
      <c r="A145" s="693"/>
      <c r="B145" s="693"/>
      <c r="C145" s="693"/>
      <c r="D145" s="693"/>
      <c r="E145" s="693"/>
      <c r="F145" s="693"/>
      <c r="G145" s="693"/>
      <c r="H145" s="693"/>
      <c r="I145" s="693"/>
      <c r="J145" s="693"/>
      <c r="K145" s="693"/>
      <c r="L145" s="693"/>
      <c r="M145" s="693"/>
      <c r="N145" s="693"/>
      <c r="O145" s="693"/>
      <c r="P145" s="693"/>
      <c r="Q145" s="693"/>
      <c r="R145" s="693"/>
      <c r="S145" s="693"/>
      <c r="T145" s="693"/>
      <c r="U145" s="693"/>
      <c r="V145" s="693"/>
      <c r="W145" s="693"/>
      <c r="X145" s="693"/>
      <c r="Y145" s="693"/>
      <c r="Z145" s="693"/>
    </row>
    <row r="146" ht="15.75" customHeight="1">
      <c r="A146" s="693"/>
      <c r="B146" s="693"/>
      <c r="C146" s="693"/>
      <c r="D146" s="693"/>
      <c r="E146" s="693"/>
      <c r="F146" s="693"/>
      <c r="G146" s="693"/>
      <c r="H146" s="693"/>
      <c r="I146" s="693"/>
      <c r="J146" s="693"/>
      <c r="K146" s="693"/>
      <c r="L146" s="693"/>
      <c r="M146" s="693"/>
      <c r="N146" s="693"/>
      <c r="O146" s="693"/>
      <c r="P146" s="693"/>
      <c r="Q146" s="693"/>
      <c r="R146" s="693"/>
      <c r="S146" s="693"/>
      <c r="T146" s="693"/>
      <c r="U146" s="693"/>
      <c r="V146" s="693"/>
      <c r="W146" s="693"/>
      <c r="X146" s="693"/>
      <c r="Y146" s="693"/>
      <c r="Z146" s="693"/>
    </row>
    <row r="147" ht="15.75" customHeight="1">
      <c r="A147" s="693"/>
      <c r="B147" s="693"/>
      <c r="C147" s="693"/>
      <c r="D147" s="693"/>
      <c r="E147" s="693"/>
      <c r="F147" s="693"/>
      <c r="G147" s="693"/>
      <c r="H147" s="693"/>
      <c r="I147" s="693"/>
      <c r="J147" s="693"/>
      <c r="K147" s="693"/>
      <c r="L147" s="693"/>
      <c r="M147" s="693"/>
      <c r="N147" s="693"/>
      <c r="O147" s="693"/>
      <c r="P147" s="693"/>
      <c r="Q147" s="693"/>
      <c r="R147" s="693"/>
      <c r="S147" s="693"/>
      <c r="T147" s="693"/>
      <c r="U147" s="693"/>
      <c r="V147" s="693"/>
      <c r="W147" s="693"/>
      <c r="X147" s="693"/>
      <c r="Y147" s="693"/>
      <c r="Z147" s="693"/>
    </row>
    <row r="148" ht="15.75" customHeight="1">
      <c r="A148" s="693"/>
      <c r="B148" s="693"/>
      <c r="C148" s="693"/>
      <c r="D148" s="693"/>
      <c r="E148" s="693"/>
      <c r="F148" s="693"/>
      <c r="G148" s="693"/>
      <c r="H148" s="693"/>
      <c r="I148" s="693"/>
      <c r="J148" s="693"/>
      <c r="K148" s="693"/>
      <c r="L148" s="693"/>
      <c r="M148" s="693"/>
      <c r="N148" s="693"/>
      <c r="O148" s="693"/>
      <c r="P148" s="693"/>
      <c r="Q148" s="693"/>
      <c r="R148" s="693"/>
      <c r="S148" s="693"/>
      <c r="T148" s="693"/>
      <c r="U148" s="693"/>
      <c r="V148" s="693"/>
      <c r="W148" s="693"/>
      <c r="X148" s="693"/>
      <c r="Y148" s="693"/>
      <c r="Z148" s="693"/>
    </row>
    <row r="149" ht="15.75" customHeight="1">
      <c r="A149" s="693"/>
      <c r="B149" s="693"/>
      <c r="C149" s="693"/>
      <c r="D149" s="693"/>
      <c r="E149" s="693"/>
      <c r="F149" s="693"/>
      <c r="G149" s="693"/>
      <c r="H149" s="693"/>
      <c r="I149" s="693"/>
      <c r="J149" s="693"/>
      <c r="K149" s="693"/>
      <c r="L149" s="693"/>
      <c r="M149" s="693"/>
      <c r="N149" s="693"/>
      <c r="O149" s="693"/>
      <c r="P149" s="693"/>
      <c r="Q149" s="693"/>
      <c r="R149" s="693"/>
      <c r="S149" s="693"/>
      <c r="T149" s="693"/>
      <c r="U149" s="693"/>
      <c r="V149" s="693"/>
      <c r="W149" s="693"/>
      <c r="X149" s="693"/>
      <c r="Y149" s="693"/>
      <c r="Z149" s="693"/>
    </row>
    <row r="150" ht="15.75" customHeight="1">
      <c r="A150" s="693"/>
      <c r="B150" s="693"/>
      <c r="C150" s="693"/>
      <c r="D150" s="693"/>
      <c r="E150" s="693"/>
      <c r="F150" s="693"/>
      <c r="G150" s="693"/>
      <c r="H150" s="693"/>
      <c r="I150" s="693"/>
      <c r="J150" s="693"/>
      <c r="K150" s="693"/>
      <c r="L150" s="693"/>
      <c r="M150" s="693"/>
      <c r="N150" s="693"/>
      <c r="O150" s="693"/>
      <c r="P150" s="693"/>
      <c r="Q150" s="693"/>
      <c r="R150" s="693"/>
      <c r="S150" s="693"/>
      <c r="T150" s="693"/>
      <c r="U150" s="693"/>
      <c r="V150" s="693"/>
      <c r="W150" s="693"/>
      <c r="X150" s="693"/>
      <c r="Y150" s="693"/>
      <c r="Z150" s="693"/>
    </row>
    <row r="151" ht="15.75" customHeight="1">
      <c r="A151" s="693"/>
      <c r="B151" s="693"/>
      <c r="C151" s="693"/>
      <c r="D151" s="693"/>
      <c r="E151" s="693"/>
      <c r="F151" s="693"/>
      <c r="G151" s="693"/>
      <c r="H151" s="693"/>
      <c r="I151" s="693"/>
      <c r="J151" s="693"/>
      <c r="K151" s="693"/>
      <c r="L151" s="693"/>
      <c r="M151" s="693"/>
      <c r="N151" s="693"/>
      <c r="O151" s="693"/>
      <c r="P151" s="693"/>
      <c r="Q151" s="693"/>
      <c r="R151" s="693"/>
      <c r="S151" s="693"/>
      <c r="T151" s="693"/>
      <c r="U151" s="693"/>
      <c r="V151" s="693"/>
      <c r="W151" s="693"/>
      <c r="X151" s="693"/>
      <c r="Y151" s="693"/>
      <c r="Z151" s="693"/>
    </row>
    <row r="152" ht="15.75" customHeight="1">
      <c r="A152" s="693"/>
      <c r="B152" s="693"/>
      <c r="C152" s="693"/>
      <c r="D152" s="693"/>
      <c r="E152" s="693"/>
      <c r="F152" s="693"/>
      <c r="G152" s="693"/>
      <c r="H152" s="693"/>
      <c r="I152" s="693"/>
      <c r="J152" s="693"/>
      <c r="K152" s="693"/>
      <c r="L152" s="693"/>
      <c r="M152" s="693"/>
      <c r="N152" s="693"/>
      <c r="O152" s="693"/>
      <c r="P152" s="693"/>
      <c r="Q152" s="693"/>
      <c r="R152" s="693"/>
      <c r="S152" s="693"/>
      <c r="T152" s="693"/>
      <c r="U152" s="693"/>
      <c r="V152" s="693"/>
      <c r="W152" s="693"/>
      <c r="X152" s="693"/>
      <c r="Y152" s="693"/>
      <c r="Z152" s="693"/>
    </row>
    <row r="153" ht="15.75" customHeight="1">
      <c r="A153" s="693"/>
      <c r="B153" s="693"/>
      <c r="C153" s="693"/>
      <c r="D153" s="693"/>
      <c r="E153" s="693"/>
      <c r="F153" s="693"/>
      <c r="G153" s="693"/>
      <c r="H153" s="693"/>
      <c r="I153" s="693"/>
      <c r="J153" s="693"/>
      <c r="K153" s="693"/>
      <c r="L153" s="693"/>
      <c r="M153" s="693"/>
      <c r="N153" s="693"/>
      <c r="O153" s="693"/>
      <c r="P153" s="693"/>
      <c r="Q153" s="693"/>
      <c r="R153" s="693"/>
      <c r="S153" s="693"/>
      <c r="T153" s="693"/>
      <c r="U153" s="693"/>
      <c r="V153" s="693"/>
      <c r="W153" s="693"/>
      <c r="X153" s="693"/>
      <c r="Y153" s="693"/>
      <c r="Z153" s="693"/>
    </row>
    <row r="154" ht="15.75" customHeight="1">
      <c r="A154" s="693"/>
      <c r="B154" s="693"/>
      <c r="C154" s="693"/>
      <c r="D154" s="693"/>
      <c r="E154" s="693"/>
      <c r="F154" s="693"/>
      <c r="G154" s="693"/>
      <c r="H154" s="693"/>
      <c r="I154" s="693"/>
      <c r="J154" s="693"/>
      <c r="K154" s="693"/>
      <c r="L154" s="693"/>
      <c r="M154" s="693"/>
      <c r="N154" s="693"/>
      <c r="O154" s="693"/>
      <c r="P154" s="693"/>
      <c r="Q154" s="693"/>
      <c r="R154" s="693"/>
      <c r="S154" s="693"/>
      <c r="T154" s="693"/>
      <c r="U154" s="693"/>
      <c r="V154" s="693"/>
      <c r="W154" s="693"/>
      <c r="X154" s="693"/>
      <c r="Y154" s="693"/>
      <c r="Z154" s="693"/>
    </row>
    <row r="155" ht="15.75" customHeight="1">
      <c r="A155" s="693"/>
      <c r="B155" s="693"/>
      <c r="C155" s="693"/>
      <c r="D155" s="693"/>
      <c r="E155" s="693"/>
      <c r="F155" s="693"/>
      <c r="G155" s="693"/>
      <c r="H155" s="693"/>
      <c r="I155" s="693"/>
      <c r="J155" s="693"/>
      <c r="K155" s="693"/>
      <c r="L155" s="693"/>
      <c r="M155" s="693"/>
      <c r="N155" s="693"/>
      <c r="O155" s="693"/>
      <c r="P155" s="693"/>
      <c r="Q155" s="693"/>
      <c r="R155" s="693"/>
      <c r="S155" s="693"/>
      <c r="T155" s="693"/>
      <c r="U155" s="693"/>
      <c r="V155" s="693"/>
      <c r="W155" s="693"/>
      <c r="X155" s="693"/>
      <c r="Y155" s="693"/>
      <c r="Z155" s="693"/>
    </row>
    <row r="156" ht="15.75" customHeight="1">
      <c r="A156" s="693"/>
      <c r="B156" s="693"/>
      <c r="C156" s="693"/>
      <c r="D156" s="693"/>
      <c r="E156" s="693"/>
      <c r="F156" s="693"/>
      <c r="G156" s="693"/>
      <c r="H156" s="693"/>
      <c r="I156" s="693"/>
      <c r="J156" s="693"/>
      <c r="K156" s="693"/>
      <c r="L156" s="693"/>
      <c r="M156" s="693"/>
      <c r="N156" s="693"/>
      <c r="O156" s="693"/>
      <c r="P156" s="693"/>
      <c r="Q156" s="693"/>
      <c r="R156" s="693"/>
      <c r="S156" s="693"/>
      <c r="T156" s="693"/>
      <c r="U156" s="693"/>
      <c r="V156" s="693"/>
      <c r="W156" s="693"/>
      <c r="X156" s="693"/>
      <c r="Y156" s="693"/>
      <c r="Z156" s="693"/>
    </row>
    <row r="157" ht="15.75" customHeight="1">
      <c r="A157" s="693"/>
      <c r="B157" s="693"/>
      <c r="C157" s="693"/>
      <c r="D157" s="693"/>
      <c r="E157" s="693"/>
      <c r="F157" s="693"/>
      <c r="G157" s="693"/>
      <c r="H157" s="693"/>
      <c r="I157" s="693"/>
      <c r="J157" s="693"/>
      <c r="K157" s="693"/>
      <c r="L157" s="693"/>
      <c r="M157" s="693"/>
      <c r="N157" s="693"/>
      <c r="O157" s="693"/>
      <c r="P157" s="693"/>
      <c r="Q157" s="693"/>
      <c r="R157" s="693"/>
      <c r="S157" s="693"/>
      <c r="T157" s="693"/>
      <c r="U157" s="693"/>
      <c r="V157" s="693"/>
      <c r="W157" s="693"/>
      <c r="X157" s="693"/>
      <c r="Y157" s="693"/>
      <c r="Z157" s="693"/>
    </row>
    <row r="158" ht="15.75" customHeight="1">
      <c r="A158" s="693"/>
      <c r="B158" s="693"/>
      <c r="C158" s="693"/>
      <c r="D158" s="693"/>
      <c r="E158" s="693"/>
      <c r="F158" s="693"/>
      <c r="G158" s="693"/>
      <c r="H158" s="693"/>
      <c r="I158" s="693"/>
      <c r="J158" s="693"/>
      <c r="K158" s="693"/>
      <c r="L158" s="693"/>
      <c r="M158" s="693"/>
      <c r="N158" s="693"/>
      <c r="O158" s="693"/>
      <c r="P158" s="693"/>
      <c r="Q158" s="693"/>
      <c r="R158" s="693"/>
      <c r="S158" s="693"/>
      <c r="T158" s="693"/>
      <c r="U158" s="693"/>
      <c r="V158" s="693"/>
      <c r="W158" s="693"/>
      <c r="X158" s="693"/>
      <c r="Y158" s="693"/>
      <c r="Z158" s="693"/>
    </row>
    <row r="159" ht="15.75" customHeight="1">
      <c r="A159" s="693"/>
      <c r="B159" s="693"/>
      <c r="C159" s="693"/>
      <c r="D159" s="693"/>
      <c r="E159" s="693"/>
      <c r="F159" s="693"/>
      <c r="G159" s="693"/>
      <c r="H159" s="693"/>
      <c r="I159" s="693"/>
      <c r="J159" s="693"/>
      <c r="K159" s="693"/>
      <c r="L159" s="693"/>
      <c r="M159" s="693"/>
      <c r="N159" s="693"/>
      <c r="O159" s="693"/>
      <c r="P159" s="693"/>
      <c r="Q159" s="693"/>
      <c r="R159" s="693"/>
      <c r="S159" s="693"/>
      <c r="T159" s="693"/>
      <c r="U159" s="693"/>
      <c r="V159" s="693"/>
      <c r="W159" s="693"/>
      <c r="X159" s="693"/>
      <c r="Y159" s="693"/>
      <c r="Z159" s="693"/>
    </row>
    <row r="160" ht="15.75" customHeight="1">
      <c r="A160" s="693"/>
      <c r="B160" s="693"/>
      <c r="C160" s="693"/>
      <c r="D160" s="693"/>
      <c r="E160" s="693"/>
      <c r="F160" s="693"/>
      <c r="G160" s="693"/>
      <c r="H160" s="693"/>
      <c r="I160" s="693"/>
      <c r="J160" s="693"/>
      <c r="K160" s="693"/>
      <c r="L160" s="693"/>
      <c r="M160" s="693"/>
      <c r="N160" s="693"/>
      <c r="O160" s="693"/>
      <c r="P160" s="693"/>
      <c r="Q160" s="693"/>
      <c r="R160" s="693"/>
      <c r="S160" s="693"/>
      <c r="T160" s="693"/>
      <c r="U160" s="693"/>
      <c r="V160" s="693"/>
      <c r="W160" s="693"/>
      <c r="X160" s="693"/>
      <c r="Y160" s="693"/>
      <c r="Z160" s="693"/>
    </row>
    <row r="161" ht="15.75" customHeight="1">
      <c r="A161" s="693"/>
      <c r="B161" s="693"/>
      <c r="C161" s="693"/>
      <c r="D161" s="693"/>
      <c r="E161" s="693"/>
      <c r="F161" s="693"/>
      <c r="G161" s="693"/>
      <c r="H161" s="693"/>
      <c r="I161" s="693"/>
      <c r="J161" s="693"/>
      <c r="K161" s="693"/>
      <c r="L161" s="693"/>
      <c r="M161" s="693"/>
      <c r="N161" s="693"/>
      <c r="O161" s="693"/>
      <c r="P161" s="693"/>
      <c r="Q161" s="693"/>
      <c r="R161" s="693"/>
      <c r="S161" s="693"/>
      <c r="T161" s="693"/>
      <c r="U161" s="693"/>
      <c r="V161" s="693"/>
      <c r="W161" s="693"/>
      <c r="X161" s="693"/>
      <c r="Y161" s="693"/>
      <c r="Z161" s="693"/>
    </row>
    <row r="162" ht="15.75" customHeight="1">
      <c r="A162" s="693"/>
      <c r="B162" s="693"/>
      <c r="C162" s="693"/>
      <c r="D162" s="693"/>
      <c r="E162" s="693"/>
      <c r="F162" s="693"/>
      <c r="G162" s="693"/>
      <c r="H162" s="693"/>
      <c r="I162" s="693"/>
      <c r="J162" s="693"/>
      <c r="K162" s="693"/>
      <c r="L162" s="693"/>
      <c r="M162" s="693"/>
      <c r="N162" s="693"/>
      <c r="O162" s="693"/>
      <c r="P162" s="693"/>
      <c r="Q162" s="693"/>
      <c r="R162" s="693"/>
      <c r="S162" s="693"/>
      <c r="T162" s="693"/>
      <c r="U162" s="693"/>
      <c r="V162" s="693"/>
      <c r="W162" s="693"/>
      <c r="X162" s="693"/>
      <c r="Y162" s="693"/>
      <c r="Z162" s="693"/>
    </row>
    <row r="163" ht="15.75" customHeight="1">
      <c r="A163" s="693"/>
      <c r="B163" s="693"/>
      <c r="C163" s="693"/>
      <c r="D163" s="693"/>
      <c r="E163" s="693"/>
      <c r="F163" s="693"/>
      <c r="G163" s="693"/>
      <c r="H163" s="693"/>
      <c r="I163" s="693"/>
      <c r="J163" s="693"/>
      <c r="K163" s="693"/>
      <c r="L163" s="693"/>
      <c r="M163" s="693"/>
      <c r="N163" s="693"/>
      <c r="O163" s="693"/>
      <c r="P163" s="693"/>
      <c r="Q163" s="693"/>
      <c r="R163" s="693"/>
      <c r="S163" s="693"/>
      <c r="T163" s="693"/>
      <c r="U163" s="693"/>
      <c r="V163" s="693"/>
      <c r="W163" s="693"/>
      <c r="X163" s="693"/>
      <c r="Y163" s="693"/>
      <c r="Z163" s="693"/>
    </row>
    <row r="164" ht="15.75" customHeight="1">
      <c r="A164" s="693"/>
      <c r="B164" s="693"/>
      <c r="C164" s="693"/>
      <c r="D164" s="693"/>
      <c r="E164" s="693"/>
      <c r="F164" s="693"/>
      <c r="G164" s="693"/>
      <c r="H164" s="693"/>
      <c r="I164" s="693"/>
      <c r="J164" s="693"/>
      <c r="K164" s="693"/>
      <c r="L164" s="693"/>
      <c r="M164" s="693"/>
      <c r="N164" s="693"/>
      <c r="O164" s="693"/>
      <c r="P164" s="693"/>
      <c r="Q164" s="693"/>
      <c r="R164" s="693"/>
      <c r="S164" s="693"/>
      <c r="T164" s="693"/>
      <c r="U164" s="693"/>
      <c r="V164" s="693"/>
      <c r="W164" s="693"/>
      <c r="X164" s="693"/>
      <c r="Y164" s="693"/>
      <c r="Z164" s="693"/>
    </row>
    <row r="165" ht="15.75" customHeight="1">
      <c r="A165" s="693"/>
      <c r="B165" s="693"/>
      <c r="C165" s="693"/>
      <c r="D165" s="693"/>
      <c r="E165" s="693"/>
      <c r="F165" s="693"/>
      <c r="G165" s="693"/>
      <c r="H165" s="693"/>
      <c r="I165" s="693"/>
      <c r="J165" s="693"/>
      <c r="K165" s="693"/>
      <c r="L165" s="693"/>
      <c r="M165" s="693"/>
      <c r="N165" s="693"/>
      <c r="O165" s="693"/>
      <c r="P165" s="693"/>
      <c r="Q165" s="693"/>
      <c r="R165" s="693"/>
      <c r="S165" s="693"/>
      <c r="T165" s="693"/>
      <c r="U165" s="693"/>
      <c r="V165" s="693"/>
      <c r="W165" s="693"/>
      <c r="X165" s="693"/>
      <c r="Y165" s="693"/>
      <c r="Z165" s="693"/>
    </row>
    <row r="166" ht="15.75" customHeight="1">
      <c r="A166" s="693"/>
      <c r="B166" s="693"/>
      <c r="C166" s="693"/>
      <c r="D166" s="693"/>
      <c r="E166" s="693"/>
      <c r="F166" s="693"/>
      <c r="G166" s="693"/>
      <c r="H166" s="693"/>
      <c r="I166" s="693"/>
      <c r="J166" s="693"/>
      <c r="K166" s="693"/>
      <c r="L166" s="693"/>
      <c r="M166" s="693"/>
      <c r="N166" s="693"/>
      <c r="O166" s="693"/>
      <c r="P166" s="693"/>
      <c r="Q166" s="693"/>
      <c r="R166" s="693"/>
      <c r="S166" s="693"/>
      <c r="T166" s="693"/>
      <c r="U166" s="693"/>
      <c r="V166" s="693"/>
      <c r="W166" s="693"/>
      <c r="X166" s="693"/>
      <c r="Y166" s="693"/>
      <c r="Z166" s="693"/>
    </row>
    <row r="167" ht="15.75" customHeight="1">
      <c r="A167" s="693"/>
      <c r="B167" s="693"/>
      <c r="C167" s="693"/>
      <c r="D167" s="693"/>
      <c r="E167" s="693"/>
      <c r="F167" s="693"/>
      <c r="G167" s="693"/>
      <c r="H167" s="693"/>
      <c r="I167" s="693"/>
      <c r="J167" s="693"/>
      <c r="K167" s="693"/>
      <c r="L167" s="693"/>
      <c r="M167" s="693"/>
      <c r="N167" s="693"/>
      <c r="O167" s="693"/>
      <c r="P167" s="693"/>
      <c r="Q167" s="693"/>
      <c r="R167" s="693"/>
      <c r="S167" s="693"/>
      <c r="T167" s="693"/>
      <c r="U167" s="693"/>
      <c r="V167" s="693"/>
      <c r="W167" s="693"/>
      <c r="X167" s="693"/>
      <c r="Y167" s="693"/>
      <c r="Z167" s="693"/>
    </row>
    <row r="168" ht="15.75" customHeight="1">
      <c r="A168" s="693"/>
      <c r="B168" s="693"/>
      <c r="C168" s="693"/>
      <c r="D168" s="693"/>
      <c r="E168" s="693"/>
      <c r="F168" s="693"/>
      <c r="G168" s="693"/>
      <c r="H168" s="693"/>
      <c r="I168" s="693"/>
      <c r="J168" s="693"/>
      <c r="K168" s="693"/>
      <c r="L168" s="693"/>
      <c r="M168" s="693"/>
      <c r="N168" s="693"/>
      <c r="O168" s="693"/>
      <c r="P168" s="693"/>
      <c r="Q168" s="693"/>
      <c r="R168" s="693"/>
      <c r="S168" s="693"/>
      <c r="T168" s="693"/>
      <c r="U168" s="693"/>
      <c r="V168" s="693"/>
      <c r="W168" s="693"/>
      <c r="X168" s="693"/>
      <c r="Y168" s="693"/>
      <c r="Z168" s="693"/>
    </row>
    <row r="169" ht="15.75" customHeight="1">
      <c r="A169" s="693"/>
      <c r="B169" s="693"/>
      <c r="C169" s="693"/>
      <c r="D169" s="693"/>
      <c r="E169" s="693"/>
      <c r="F169" s="693"/>
      <c r="G169" s="693"/>
      <c r="H169" s="693"/>
      <c r="I169" s="693"/>
      <c r="J169" s="693"/>
      <c r="K169" s="693"/>
      <c r="L169" s="693"/>
      <c r="M169" s="693"/>
      <c r="N169" s="693"/>
      <c r="O169" s="693"/>
      <c r="P169" s="693"/>
      <c r="Q169" s="693"/>
      <c r="R169" s="693"/>
      <c r="S169" s="693"/>
      <c r="T169" s="693"/>
      <c r="U169" s="693"/>
      <c r="V169" s="693"/>
      <c r="W169" s="693"/>
      <c r="X169" s="693"/>
      <c r="Y169" s="693"/>
      <c r="Z169" s="693"/>
    </row>
    <row r="170" ht="15.75" customHeight="1">
      <c r="A170" s="693"/>
      <c r="B170" s="693"/>
      <c r="C170" s="693"/>
      <c r="D170" s="693"/>
      <c r="E170" s="693"/>
      <c r="F170" s="693"/>
      <c r="G170" s="693"/>
      <c r="H170" s="693"/>
      <c r="I170" s="693"/>
      <c r="J170" s="693"/>
      <c r="K170" s="693"/>
      <c r="L170" s="693"/>
      <c r="M170" s="693"/>
      <c r="N170" s="693"/>
      <c r="O170" s="693"/>
      <c r="P170" s="693"/>
      <c r="Q170" s="693"/>
      <c r="R170" s="693"/>
      <c r="S170" s="693"/>
      <c r="T170" s="693"/>
      <c r="U170" s="693"/>
      <c r="V170" s="693"/>
      <c r="W170" s="693"/>
      <c r="X170" s="693"/>
      <c r="Y170" s="693"/>
      <c r="Z170" s="693"/>
    </row>
    <row r="171" ht="15.75" customHeight="1">
      <c r="A171" s="693"/>
      <c r="B171" s="693"/>
      <c r="C171" s="693"/>
      <c r="D171" s="693"/>
      <c r="E171" s="693"/>
      <c r="F171" s="693"/>
      <c r="G171" s="693"/>
      <c r="H171" s="693"/>
      <c r="I171" s="693"/>
      <c r="J171" s="693"/>
      <c r="K171" s="693"/>
      <c r="L171" s="693"/>
      <c r="M171" s="693"/>
      <c r="N171" s="693"/>
      <c r="O171" s="693"/>
      <c r="P171" s="693"/>
      <c r="Q171" s="693"/>
      <c r="R171" s="693"/>
      <c r="S171" s="693"/>
      <c r="T171" s="693"/>
      <c r="U171" s="693"/>
      <c r="V171" s="693"/>
      <c r="W171" s="693"/>
      <c r="X171" s="693"/>
      <c r="Y171" s="693"/>
      <c r="Z171" s="693"/>
    </row>
    <row r="172" ht="15.75" customHeight="1">
      <c r="A172" s="693"/>
      <c r="B172" s="693"/>
      <c r="C172" s="693"/>
      <c r="D172" s="693"/>
      <c r="E172" s="693"/>
      <c r="F172" s="693"/>
      <c r="G172" s="693"/>
      <c r="H172" s="693"/>
      <c r="I172" s="693"/>
      <c r="J172" s="693"/>
      <c r="K172" s="693"/>
      <c r="L172" s="693"/>
      <c r="M172" s="693"/>
      <c r="N172" s="693"/>
      <c r="O172" s="693"/>
      <c r="P172" s="693"/>
      <c r="Q172" s="693"/>
      <c r="R172" s="693"/>
      <c r="S172" s="693"/>
      <c r="T172" s="693"/>
      <c r="U172" s="693"/>
      <c r="V172" s="693"/>
      <c r="W172" s="693"/>
      <c r="X172" s="693"/>
      <c r="Y172" s="693"/>
      <c r="Z172" s="693"/>
    </row>
    <row r="173" ht="15.75" customHeight="1">
      <c r="A173" s="693"/>
      <c r="B173" s="693"/>
      <c r="C173" s="693"/>
      <c r="D173" s="693"/>
      <c r="E173" s="693"/>
      <c r="F173" s="693"/>
      <c r="G173" s="693"/>
      <c r="H173" s="693"/>
      <c r="I173" s="693"/>
      <c r="J173" s="693"/>
      <c r="K173" s="693"/>
      <c r="L173" s="693"/>
      <c r="M173" s="693"/>
      <c r="N173" s="693"/>
      <c r="O173" s="693"/>
      <c r="P173" s="693"/>
      <c r="Q173" s="693"/>
      <c r="R173" s="693"/>
      <c r="S173" s="693"/>
      <c r="T173" s="693"/>
      <c r="U173" s="693"/>
      <c r="V173" s="693"/>
      <c r="W173" s="693"/>
      <c r="X173" s="693"/>
      <c r="Y173" s="693"/>
      <c r="Z173" s="693"/>
    </row>
    <row r="174" ht="15.75" customHeight="1">
      <c r="A174" s="693"/>
      <c r="B174" s="693"/>
      <c r="C174" s="693"/>
      <c r="D174" s="693"/>
      <c r="E174" s="693"/>
      <c r="F174" s="693"/>
      <c r="G174" s="693"/>
      <c r="H174" s="693"/>
      <c r="I174" s="693"/>
      <c r="J174" s="693"/>
      <c r="K174" s="693"/>
      <c r="L174" s="693"/>
      <c r="M174" s="693"/>
      <c r="N174" s="693"/>
      <c r="O174" s="693"/>
      <c r="P174" s="693"/>
      <c r="Q174" s="693"/>
      <c r="R174" s="693"/>
      <c r="S174" s="693"/>
      <c r="T174" s="693"/>
      <c r="U174" s="693"/>
      <c r="V174" s="693"/>
      <c r="W174" s="693"/>
      <c r="X174" s="693"/>
      <c r="Y174" s="693"/>
      <c r="Z174" s="693"/>
    </row>
    <row r="175" ht="15.75" customHeight="1">
      <c r="A175" s="693"/>
      <c r="B175" s="693"/>
      <c r="C175" s="693"/>
      <c r="D175" s="693"/>
      <c r="E175" s="693"/>
      <c r="F175" s="693"/>
      <c r="G175" s="693"/>
      <c r="H175" s="693"/>
      <c r="I175" s="693"/>
      <c r="J175" s="693"/>
      <c r="K175" s="693"/>
      <c r="L175" s="693"/>
      <c r="M175" s="693"/>
      <c r="N175" s="693"/>
      <c r="O175" s="693"/>
      <c r="P175" s="693"/>
      <c r="Q175" s="693"/>
      <c r="R175" s="693"/>
      <c r="S175" s="693"/>
      <c r="T175" s="693"/>
      <c r="U175" s="693"/>
      <c r="V175" s="693"/>
      <c r="W175" s="693"/>
      <c r="X175" s="693"/>
      <c r="Y175" s="693"/>
      <c r="Z175" s="693"/>
    </row>
    <row r="176" ht="15.75" customHeight="1">
      <c r="A176" s="693"/>
      <c r="B176" s="693"/>
      <c r="C176" s="693"/>
      <c r="D176" s="693"/>
      <c r="E176" s="693"/>
      <c r="F176" s="693"/>
      <c r="G176" s="693"/>
      <c r="H176" s="693"/>
      <c r="I176" s="693"/>
      <c r="J176" s="693"/>
      <c r="K176" s="693"/>
      <c r="L176" s="693"/>
      <c r="M176" s="693"/>
      <c r="N176" s="693"/>
      <c r="O176" s="693"/>
      <c r="P176" s="693"/>
      <c r="Q176" s="693"/>
      <c r="R176" s="693"/>
      <c r="S176" s="693"/>
      <c r="T176" s="693"/>
      <c r="U176" s="693"/>
      <c r="V176" s="693"/>
      <c r="W176" s="693"/>
      <c r="X176" s="693"/>
      <c r="Y176" s="693"/>
      <c r="Z176" s="693"/>
    </row>
    <row r="177" ht="15.75" customHeight="1">
      <c r="A177" s="693"/>
      <c r="B177" s="693"/>
      <c r="C177" s="693"/>
      <c r="D177" s="693"/>
      <c r="E177" s="693"/>
      <c r="F177" s="693"/>
      <c r="G177" s="693"/>
      <c r="H177" s="693"/>
      <c r="I177" s="693"/>
      <c r="J177" s="693"/>
      <c r="K177" s="693"/>
      <c r="L177" s="693"/>
      <c r="M177" s="693"/>
      <c r="N177" s="693"/>
      <c r="O177" s="693"/>
      <c r="P177" s="693"/>
      <c r="Q177" s="693"/>
      <c r="R177" s="693"/>
      <c r="S177" s="693"/>
      <c r="T177" s="693"/>
      <c r="U177" s="693"/>
      <c r="V177" s="693"/>
      <c r="W177" s="693"/>
      <c r="X177" s="693"/>
      <c r="Y177" s="693"/>
      <c r="Z177" s="693"/>
    </row>
    <row r="178" ht="15.75" customHeight="1">
      <c r="A178" s="693"/>
      <c r="B178" s="693"/>
      <c r="C178" s="693"/>
      <c r="D178" s="693"/>
      <c r="E178" s="693"/>
      <c r="F178" s="693"/>
      <c r="G178" s="693"/>
      <c r="H178" s="693"/>
      <c r="I178" s="693"/>
      <c r="J178" s="693"/>
      <c r="K178" s="693"/>
      <c r="L178" s="693"/>
      <c r="M178" s="693"/>
      <c r="N178" s="693"/>
      <c r="O178" s="693"/>
      <c r="P178" s="693"/>
      <c r="Q178" s="693"/>
      <c r="R178" s="693"/>
      <c r="S178" s="693"/>
      <c r="T178" s="693"/>
      <c r="U178" s="693"/>
      <c r="V178" s="693"/>
      <c r="W178" s="693"/>
      <c r="X178" s="693"/>
      <c r="Y178" s="693"/>
      <c r="Z178" s="693"/>
    </row>
    <row r="179" ht="15.75" customHeight="1">
      <c r="A179" s="693"/>
      <c r="B179" s="693"/>
      <c r="C179" s="693"/>
      <c r="D179" s="693"/>
      <c r="E179" s="693"/>
      <c r="F179" s="693"/>
      <c r="G179" s="693"/>
      <c r="H179" s="693"/>
      <c r="I179" s="693"/>
      <c r="J179" s="693"/>
      <c r="K179" s="693"/>
      <c r="L179" s="693"/>
      <c r="M179" s="693"/>
      <c r="N179" s="693"/>
      <c r="O179" s="693"/>
      <c r="P179" s="693"/>
      <c r="Q179" s="693"/>
      <c r="R179" s="693"/>
      <c r="S179" s="693"/>
      <c r="T179" s="693"/>
      <c r="U179" s="693"/>
      <c r="V179" s="693"/>
      <c r="W179" s="693"/>
      <c r="X179" s="693"/>
      <c r="Y179" s="693"/>
      <c r="Z179" s="693"/>
    </row>
    <row r="180" ht="15.75" customHeight="1">
      <c r="A180" s="693"/>
      <c r="B180" s="693"/>
      <c r="C180" s="693"/>
      <c r="D180" s="693"/>
      <c r="E180" s="693"/>
      <c r="F180" s="693"/>
      <c r="G180" s="693"/>
      <c r="H180" s="693"/>
      <c r="I180" s="693"/>
      <c r="J180" s="693"/>
      <c r="K180" s="693"/>
      <c r="L180" s="693"/>
      <c r="M180" s="693"/>
      <c r="N180" s="693"/>
      <c r="O180" s="693"/>
      <c r="P180" s="693"/>
      <c r="Q180" s="693"/>
      <c r="R180" s="693"/>
      <c r="S180" s="693"/>
      <c r="T180" s="693"/>
      <c r="U180" s="693"/>
      <c r="V180" s="693"/>
      <c r="W180" s="693"/>
      <c r="X180" s="693"/>
      <c r="Y180" s="693"/>
      <c r="Z180" s="693"/>
    </row>
    <row r="181" ht="15.75" customHeight="1">
      <c r="A181" s="693"/>
      <c r="B181" s="693"/>
      <c r="C181" s="693"/>
      <c r="D181" s="693"/>
      <c r="E181" s="693"/>
      <c r="F181" s="693"/>
      <c r="G181" s="693"/>
      <c r="H181" s="693"/>
      <c r="I181" s="693"/>
      <c r="J181" s="693"/>
      <c r="K181" s="693"/>
      <c r="L181" s="693"/>
      <c r="M181" s="693"/>
      <c r="N181" s="693"/>
      <c r="O181" s="693"/>
      <c r="P181" s="693"/>
      <c r="Q181" s="693"/>
      <c r="R181" s="693"/>
      <c r="S181" s="693"/>
      <c r="T181" s="693"/>
      <c r="U181" s="693"/>
      <c r="V181" s="693"/>
      <c r="W181" s="693"/>
      <c r="X181" s="693"/>
      <c r="Y181" s="693"/>
      <c r="Z181" s="693"/>
    </row>
    <row r="182" ht="15.75" customHeight="1">
      <c r="A182" s="693"/>
      <c r="B182" s="693"/>
      <c r="C182" s="693"/>
      <c r="D182" s="693"/>
      <c r="E182" s="693"/>
      <c r="F182" s="693"/>
      <c r="G182" s="693"/>
      <c r="H182" s="693"/>
      <c r="I182" s="693"/>
      <c r="J182" s="693"/>
      <c r="K182" s="693"/>
      <c r="L182" s="693"/>
      <c r="M182" s="693"/>
      <c r="N182" s="693"/>
      <c r="O182" s="693"/>
      <c r="P182" s="693"/>
      <c r="Q182" s="693"/>
      <c r="R182" s="693"/>
      <c r="S182" s="693"/>
      <c r="T182" s="693"/>
      <c r="U182" s="693"/>
      <c r="V182" s="693"/>
      <c r="W182" s="693"/>
      <c r="X182" s="693"/>
      <c r="Y182" s="693"/>
      <c r="Z182" s="693"/>
    </row>
    <row r="183" ht="15.75" customHeight="1">
      <c r="A183" s="693"/>
      <c r="B183" s="693"/>
      <c r="C183" s="693"/>
      <c r="D183" s="693"/>
      <c r="E183" s="693"/>
      <c r="F183" s="693"/>
      <c r="G183" s="693"/>
      <c r="H183" s="693"/>
      <c r="I183" s="693"/>
      <c r="J183" s="693"/>
      <c r="K183" s="693"/>
      <c r="L183" s="693"/>
      <c r="M183" s="693"/>
      <c r="N183" s="693"/>
      <c r="O183" s="693"/>
      <c r="P183" s="693"/>
      <c r="Q183" s="693"/>
      <c r="R183" s="693"/>
      <c r="S183" s="693"/>
      <c r="T183" s="693"/>
      <c r="U183" s="693"/>
      <c r="V183" s="693"/>
      <c r="W183" s="693"/>
      <c r="X183" s="693"/>
      <c r="Y183" s="693"/>
      <c r="Z183" s="693"/>
    </row>
    <row r="184" ht="15.75" customHeight="1">
      <c r="A184" s="693"/>
      <c r="B184" s="693"/>
      <c r="C184" s="693"/>
      <c r="D184" s="693"/>
      <c r="E184" s="693"/>
      <c r="F184" s="693"/>
      <c r="G184" s="693"/>
      <c r="H184" s="693"/>
      <c r="I184" s="693"/>
      <c r="J184" s="693"/>
      <c r="K184" s="693"/>
      <c r="L184" s="693"/>
      <c r="M184" s="693"/>
      <c r="N184" s="693"/>
      <c r="O184" s="693"/>
      <c r="P184" s="693"/>
      <c r="Q184" s="693"/>
      <c r="R184" s="693"/>
      <c r="S184" s="693"/>
      <c r="T184" s="693"/>
      <c r="U184" s="693"/>
      <c r="V184" s="693"/>
      <c r="W184" s="693"/>
      <c r="X184" s="693"/>
      <c r="Y184" s="693"/>
      <c r="Z184" s="693"/>
    </row>
    <row r="185" ht="15.75" customHeight="1">
      <c r="A185" s="693"/>
      <c r="B185" s="693"/>
      <c r="C185" s="693"/>
      <c r="D185" s="693"/>
      <c r="E185" s="693"/>
      <c r="F185" s="693"/>
      <c r="G185" s="693"/>
      <c r="H185" s="693"/>
      <c r="I185" s="693"/>
      <c r="J185" s="693"/>
      <c r="K185" s="693"/>
      <c r="L185" s="693"/>
      <c r="M185" s="693"/>
      <c r="N185" s="693"/>
      <c r="O185" s="693"/>
      <c r="P185" s="693"/>
      <c r="Q185" s="693"/>
      <c r="R185" s="693"/>
      <c r="S185" s="693"/>
      <c r="T185" s="693"/>
      <c r="U185" s="693"/>
      <c r="V185" s="693"/>
      <c r="W185" s="693"/>
      <c r="X185" s="693"/>
      <c r="Y185" s="693"/>
      <c r="Z185" s="693"/>
    </row>
    <row r="186" ht="15.75" customHeight="1">
      <c r="A186" s="693"/>
      <c r="B186" s="693"/>
      <c r="C186" s="693"/>
      <c r="D186" s="693"/>
      <c r="E186" s="693"/>
      <c r="F186" s="693"/>
      <c r="G186" s="693"/>
      <c r="H186" s="693"/>
      <c r="I186" s="693"/>
      <c r="J186" s="693"/>
      <c r="K186" s="693"/>
      <c r="L186" s="693"/>
      <c r="M186" s="693"/>
      <c r="N186" s="693"/>
      <c r="O186" s="693"/>
      <c r="P186" s="693"/>
      <c r="Q186" s="693"/>
      <c r="R186" s="693"/>
      <c r="S186" s="693"/>
      <c r="T186" s="693"/>
      <c r="U186" s="693"/>
      <c r="V186" s="693"/>
      <c r="W186" s="693"/>
      <c r="X186" s="693"/>
      <c r="Y186" s="693"/>
      <c r="Z186" s="693"/>
    </row>
    <row r="187" ht="15.75" customHeight="1">
      <c r="A187" s="693"/>
      <c r="B187" s="693"/>
      <c r="C187" s="693"/>
      <c r="D187" s="693"/>
      <c r="E187" s="693"/>
      <c r="F187" s="693"/>
      <c r="G187" s="693"/>
      <c r="H187" s="693"/>
      <c r="I187" s="693"/>
      <c r="J187" s="693"/>
      <c r="K187" s="693"/>
      <c r="L187" s="693"/>
      <c r="M187" s="693"/>
      <c r="N187" s="693"/>
      <c r="O187" s="693"/>
      <c r="P187" s="693"/>
      <c r="Q187" s="693"/>
      <c r="R187" s="693"/>
      <c r="S187" s="693"/>
      <c r="T187" s="693"/>
      <c r="U187" s="693"/>
      <c r="V187" s="693"/>
      <c r="W187" s="693"/>
      <c r="X187" s="693"/>
      <c r="Y187" s="693"/>
      <c r="Z187" s="693"/>
    </row>
    <row r="188" ht="15.75" customHeight="1">
      <c r="A188" s="693"/>
      <c r="B188" s="693"/>
      <c r="C188" s="693"/>
      <c r="D188" s="693"/>
      <c r="E188" s="693"/>
      <c r="F188" s="693"/>
      <c r="G188" s="693"/>
      <c r="H188" s="693"/>
      <c r="I188" s="693"/>
      <c r="J188" s="693"/>
      <c r="K188" s="693"/>
      <c r="L188" s="693"/>
      <c r="M188" s="693"/>
      <c r="N188" s="693"/>
      <c r="O188" s="693"/>
      <c r="P188" s="693"/>
      <c r="Q188" s="693"/>
      <c r="R188" s="693"/>
      <c r="S188" s="693"/>
      <c r="T188" s="693"/>
      <c r="U188" s="693"/>
      <c r="V188" s="693"/>
      <c r="W188" s="693"/>
      <c r="X188" s="693"/>
      <c r="Y188" s="693"/>
      <c r="Z188" s="693"/>
    </row>
    <row r="189" ht="15.75" customHeight="1">
      <c r="A189" s="693"/>
      <c r="B189" s="693"/>
      <c r="C189" s="693"/>
      <c r="D189" s="693"/>
      <c r="E189" s="693"/>
      <c r="F189" s="693"/>
      <c r="G189" s="693"/>
      <c r="H189" s="693"/>
      <c r="I189" s="693"/>
      <c r="J189" s="693"/>
      <c r="K189" s="693"/>
      <c r="L189" s="693"/>
      <c r="M189" s="693"/>
      <c r="N189" s="693"/>
      <c r="O189" s="693"/>
      <c r="P189" s="693"/>
      <c r="Q189" s="693"/>
      <c r="R189" s="693"/>
      <c r="S189" s="693"/>
      <c r="T189" s="693"/>
      <c r="U189" s="693"/>
      <c r="V189" s="693"/>
      <c r="W189" s="693"/>
      <c r="X189" s="693"/>
      <c r="Y189" s="693"/>
      <c r="Z189" s="693"/>
    </row>
    <row r="190" ht="15.75" customHeight="1">
      <c r="A190" s="693"/>
      <c r="B190" s="693"/>
      <c r="C190" s="693"/>
      <c r="D190" s="693"/>
      <c r="E190" s="693"/>
      <c r="F190" s="693"/>
      <c r="G190" s="693"/>
      <c r="H190" s="693"/>
      <c r="I190" s="693"/>
      <c r="J190" s="693"/>
      <c r="K190" s="693"/>
      <c r="L190" s="693"/>
      <c r="M190" s="693"/>
      <c r="N190" s="693"/>
      <c r="O190" s="693"/>
      <c r="P190" s="693"/>
      <c r="Q190" s="693"/>
      <c r="R190" s="693"/>
      <c r="S190" s="693"/>
      <c r="T190" s="693"/>
      <c r="U190" s="693"/>
      <c r="V190" s="693"/>
      <c r="W190" s="693"/>
      <c r="X190" s="693"/>
      <c r="Y190" s="693"/>
      <c r="Z190" s="693"/>
    </row>
    <row r="191" ht="15.75" customHeight="1">
      <c r="A191" s="693"/>
      <c r="B191" s="693"/>
      <c r="C191" s="693"/>
      <c r="D191" s="693"/>
      <c r="E191" s="693"/>
      <c r="F191" s="693"/>
      <c r="G191" s="693"/>
      <c r="H191" s="693"/>
      <c r="I191" s="693"/>
      <c r="J191" s="693"/>
      <c r="K191" s="693"/>
      <c r="L191" s="693"/>
      <c r="M191" s="693"/>
      <c r="N191" s="693"/>
      <c r="O191" s="693"/>
      <c r="P191" s="693"/>
      <c r="Q191" s="693"/>
      <c r="R191" s="693"/>
      <c r="S191" s="693"/>
      <c r="T191" s="693"/>
      <c r="U191" s="693"/>
      <c r="V191" s="693"/>
      <c r="W191" s="693"/>
      <c r="X191" s="693"/>
      <c r="Y191" s="693"/>
      <c r="Z191" s="693"/>
    </row>
    <row r="192" ht="15.75" customHeight="1">
      <c r="A192" s="693"/>
      <c r="B192" s="693"/>
      <c r="C192" s="693"/>
      <c r="D192" s="693"/>
      <c r="E192" s="693"/>
      <c r="F192" s="693"/>
      <c r="G192" s="693"/>
      <c r="H192" s="693"/>
      <c r="I192" s="693"/>
      <c r="J192" s="693"/>
      <c r="K192" s="693"/>
      <c r="L192" s="693"/>
      <c r="M192" s="693"/>
      <c r="N192" s="693"/>
      <c r="O192" s="693"/>
      <c r="P192" s="693"/>
      <c r="Q192" s="693"/>
      <c r="R192" s="693"/>
      <c r="S192" s="693"/>
      <c r="T192" s="693"/>
      <c r="U192" s="693"/>
      <c r="V192" s="693"/>
      <c r="W192" s="693"/>
      <c r="X192" s="693"/>
      <c r="Y192" s="693"/>
      <c r="Z192" s="693"/>
    </row>
    <row r="193" ht="15.75" customHeight="1">
      <c r="A193" s="693"/>
      <c r="B193" s="693"/>
      <c r="C193" s="693"/>
      <c r="D193" s="693"/>
      <c r="E193" s="693"/>
      <c r="F193" s="693"/>
      <c r="G193" s="693"/>
      <c r="H193" s="693"/>
      <c r="I193" s="693"/>
      <c r="J193" s="693"/>
      <c r="K193" s="693"/>
      <c r="L193" s="693"/>
      <c r="M193" s="693"/>
      <c r="N193" s="693"/>
      <c r="O193" s="693"/>
      <c r="P193" s="693"/>
      <c r="Q193" s="693"/>
      <c r="R193" s="693"/>
      <c r="S193" s="693"/>
      <c r="T193" s="693"/>
      <c r="U193" s="693"/>
      <c r="V193" s="693"/>
      <c r="W193" s="693"/>
      <c r="X193" s="693"/>
      <c r="Y193" s="693"/>
      <c r="Z193" s="693"/>
    </row>
    <row r="194" ht="15.75" customHeight="1">
      <c r="A194" s="693"/>
      <c r="B194" s="693"/>
      <c r="C194" s="693"/>
      <c r="D194" s="693"/>
      <c r="E194" s="693"/>
      <c r="F194" s="693"/>
      <c r="G194" s="693"/>
      <c r="H194" s="693"/>
      <c r="I194" s="693"/>
      <c r="J194" s="693"/>
      <c r="K194" s="693"/>
      <c r="L194" s="693"/>
      <c r="M194" s="693"/>
      <c r="N194" s="693"/>
      <c r="O194" s="693"/>
      <c r="P194" s="693"/>
      <c r="Q194" s="693"/>
      <c r="R194" s="693"/>
      <c r="S194" s="693"/>
      <c r="T194" s="693"/>
      <c r="U194" s="693"/>
      <c r="V194" s="693"/>
      <c r="W194" s="693"/>
      <c r="X194" s="693"/>
      <c r="Y194" s="693"/>
      <c r="Z194" s="693"/>
    </row>
    <row r="195" ht="15.75" customHeight="1">
      <c r="A195" s="693"/>
      <c r="B195" s="693"/>
      <c r="C195" s="693"/>
      <c r="D195" s="693"/>
      <c r="E195" s="693"/>
      <c r="F195" s="693"/>
      <c r="G195" s="693"/>
      <c r="H195" s="693"/>
      <c r="I195" s="693"/>
      <c r="J195" s="693"/>
      <c r="K195" s="693"/>
      <c r="L195" s="693"/>
      <c r="M195" s="693"/>
      <c r="N195" s="693"/>
      <c r="O195" s="693"/>
      <c r="P195" s="693"/>
      <c r="Q195" s="693"/>
      <c r="R195" s="693"/>
      <c r="S195" s="693"/>
      <c r="T195" s="693"/>
      <c r="U195" s="693"/>
      <c r="V195" s="693"/>
      <c r="W195" s="693"/>
      <c r="X195" s="693"/>
      <c r="Y195" s="693"/>
      <c r="Z195" s="693"/>
    </row>
    <row r="196" ht="15.75" customHeight="1">
      <c r="A196" s="693"/>
      <c r="B196" s="693"/>
      <c r="C196" s="693"/>
      <c r="D196" s="693"/>
      <c r="E196" s="693"/>
      <c r="F196" s="693"/>
      <c r="G196" s="693"/>
      <c r="H196" s="693"/>
      <c r="I196" s="693"/>
      <c r="J196" s="693"/>
      <c r="K196" s="693"/>
      <c r="L196" s="693"/>
      <c r="M196" s="693"/>
      <c r="N196" s="693"/>
      <c r="O196" s="693"/>
      <c r="P196" s="693"/>
      <c r="Q196" s="693"/>
      <c r="R196" s="693"/>
      <c r="S196" s="693"/>
      <c r="T196" s="693"/>
      <c r="U196" s="693"/>
      <c r="V196" s="693"/>
      <c r="W196" s="693"/>
      <c r="X196" s="693"/>
      <c r="Y196" s="693"/>
      <c r="Z196" s="693"/>
    </row>
    <row r="197" ht="15.75" customHeight="1">
      <c r="A197" s="693"/>
      <c r="B197" s="693"/>
      <c r="C197" s="693"/>
      <c r="D197" s="693"/>
      <c r="E197" s="693"/>
      <c r="F197" s="693"/>
      <c r="G197" s="693"/>
      <c r="H197" s="693"/>
      <c r="I197" s="693"/>
      <c r="J197" s="693"/>
      <c r="K197" s="693"/>
      <c r="L197" s="693"/>
      <c r="M197" s="693"/>
      <c r="N197" s="693"/>
      <c r="O197" s="693"/>
      <c r="P197" s="693"/>
      <c r="Q197" s="693"/>
      <c r="R197" s="693"/>
      <c r="S197" s="693"/>
      <c r="T197" s="693"/>
      <c r="U197" s="693"/>
      <c r="V197" s="693"/>
      <c r="W197" s="693"/>
      <c r="X197" s="693"/>
      <c r="Y197" s="693"/>
      <c r="Z197" s="693"/>
    </row>
    <row r="198" ht="15.75" customHeight="1">
      <c r="A198" s="693"/>
      <c r="B198" s="693"/>
      <c r="C198" s="693"/>
      <c r="D198" s="693"/>
      <c r="E198" s="693"/>
      <c r="F198" s="693"/>
      <c r="G198" s="693"/>
      <c r="H198" s="693"/>
      <c r="I198" s="693"/>
      <c r="J198" s="693"/>
      <c r="K198" s="693"/>
      <c r="L198" s="693"/>
      <c r="M198" s="693"/>
      <c r="N198" s="693"/>
      <c r="O198" s="693"/>
      <c r="P198" s="693"/>
      <c r="Q198" s="693"/>
      <c r="R198" s="693"/>
      <c r="S198" s="693"/>
      <c r="T198" s="693"/>
      <c r="U198" s="693"/>
      <c r="V198" s="693"/>
      <c r="W198" s="693"/>
      <c r="X198" s="693"/>
      <c r="Y198" s="693"/>
      <c r="Z198" s="693"/>
    </row>
    <row r="199" ht="15.75" customHeight="1">
      <c r="A199" s="693"/>
      <c r="B199" s="693"/>
      <c r="C199" s="693"/>
      <c r="D199" s="693"/>
      <c r="E199" s="693"/>
      <c r="F199" s="693"/>
      <c r="G199" s="693"/>
      <c r="H199" s="693"/>
      <c r="I199" s="693"/>
      <c r="J199" s="693"/>
      <c r="K199" s="693"/>
      <c r="L199" s="693"/>
      <c r="M199" s="693"/>
      <c r="N199" s="693"/>
      <c r="O199" s="693"/>
      <c r="P199" s="693"/>
      <c r="Q199" s="693"/>
      <c r="R199" s="693"/>
      <c r="S199" s="693"/>
      <c r="T199" s="693"/>
      <c r="U199" s="693"/>
      <c r="V199" s="693"/>
      <c r="W199" s="693"/>
      <c r="X199" s="693"/>
      <c r="Y199" s="693"/>
      <c r="Z199" s="693"/>
    </row>
    <row r="200" ht="15.75" customHeight="1">
      <c r="A200" s="693"/>
      <c r="B200" s="693"/>
      <c r="C200" s="693"/>
      <c r="D200" s="693"/>
      <c r="E200" s="693"/>
      <c r="F200" s="693"/>
      <c r="G200" s="693"/>
      <c r="H200" s="693"/>
      <c r="I200" s="693"/>
      <c r="J200" s="693"/>
      <c r="K200" s="693"/>
      <c r="L200" s="693"/>
      <c r="M200" s="693"/>
      <c r="N200" s="693"/>
      <c r="O200" s="693"/>
      <c r="P200" s="693"/>
      <c r="Q200" s="693"/>
      <c r="R200" s="693"/>
      <c r="S200" s="693"/>
      <c r="T200" s="693"/>
      <c r="U200" s="693"/>
      <c r="V200" s="693"/>
      <c r="W200" s="693"/>
      <c r="X200" s="693"/>
      <c r="Y200" s="693"/>
      <c r="Z200" s="693"/>
    </row>
    <row r="201" ht="15.75" customHeight="1">
      <c r="A201" s="693"/>
      <c r="B201" s="693"/>
      <c r="C201" s="693"/>
      <c r="D201" s="693"/>
      <c r="E201" s="693"/>
      <c r="F201" s="693"/>
      <c r="G201" s="693"/>
      <c r="H201" s="693"/>
      <c r="I201" s="693"/>
      <c r="J201" s="693"/>
      <c r="K201" s="693"/>
      <c r="L201" s="693"/>
      <c r="M201" s="693"/>
      <c r="N201" s="693"/>
      <c r="O201" s="693"/>
      <c r="P201" s="693"/>
      <c r="Q201" s="693"/>
      <c r="R201" s="693"/>
      <c r="S201" s="693"/>
      <c r="T201" s="693"/>
      <c r="U201" s="693"/>
      <c r="V201" s="693"/>
      <c r="W201" s="693"/>
      <c r="X201" s="693"/>
      <c r="Y201" s="693"/>
      <c r="Z201" s="693"/>
    </row>
    <row r="202" ht="15.75" customHeight="1">
      <c r="A202" s="693"/>
      <c r="B202" s="693"/>
      <c r="C202" s="693"/>
      <c r="D202" s="693"/>
      <c r="E202" s="693"/>
      <c r="F202" s="693"/>
      <c r="G202" s="693"/>
      <c r="H202" s="693"/>
      <c r="I202" s="693"/>
      <c r="J202" s="693"/>
      <c r="K202" s="693"/>
      <c r="L202" s="693"/>
      <c r="M202" s="693"/>
      <c r="N202" s="693"/>
      <c r="O202" s="693"/>
      <c r="P202" s="693"/>
      <c r="Q202" s="693"/>
      <c r="R202" s="693"/>
      <c r="S202" s="693"/>
      <c r="T202" s="693"/>
      <c r="U202" s="693"/>
      <c r="V202" s="693"/>
      <c r="W202" s="693"/>
      <c r="X202" s="693"/>
      <c r="Y202" s="693"/>
      <c r="Z202" s="693"/>
    </row>
    <row r="203" ht="15.75" customHeight="1">
      <c r="A203" s="693"/>
      <c r="B203" s="693"/>
      <c r="C203" s="693"/>
      <c r="D203" s="693"/>
      <c r="E203" s="693"/>
      <c r="F203" s="693"/>
      <c r="G203" s="693"/>
      <c r="H203" s="693"/>
      <c r="I203" s="693"/>
      <c r="J203" s="693"/>
      <c r="K203" s="693"/>
      <c r="L203" s="693"/>
      <c r="M203" s="693"/>
      <c r="N203" s="693"/>
      <c r="O203" s="693"/>
      <c r="P203" s="693"/>
      <c r="Q203" s="693"/>
      <c r="R203" s="693"/>
      <c r="S203" s="693"/>
      <c r="T203" s="693"/>
      <c r="U203" s="693"/>
      <c r="V203" s="693"/>
      <c r="W203" s="693"/>
      <c r="X203" s="693"/>
      <c r="Y203" s="693"/>
      <c r="Z203" s="693"/>
    </row>
    <row r="204" ht="15.75" customHeight="1">
      <c r="A204" s="693"/>
      <c r="B204" s="693"/>
      <c r="C204" s="693"/>
      <c r="D204" s="693"/>
      <c r="E204" s="693"/>
      <c r="F204" s="693"/>
      <c r="G204" s="693"/>
      <c r="H204" s="693"/>
      <c r="I204" s="693"/>
      <c r="J204" s="693"/>
      <c r="K204" s="693"/>
      <c r="L204" s="693"/>
      <c r="M204" s="693"/>
      <c r="N204" s="693"/>
      <c r="O204" s="693"/>
      <c r="P204" s="693"/>
      <c r="Q204" s="693"/>
      <c r="R204" s="693"/>
      <c r="S204" s="693"/>
      <c r="T204" s="693"/>
      <c r="U204" s="693"/>
      <c r="V204" s="693"/>
      <c r="W204" s="693"/>
      <c r="X204" s="693"/>
      <c r="Y204" s="693"/>
      <c r="Z204" s="693"/>
    </row>
    <row r="205" ht="15.75" customHeight="1">
      <c r="A205" s="693"/>
      <c r="B205" s="693"/>
      <c r="C205" s="693"/>
      <c r="D205" s="693"/>
      <c r="E205" s="693"/>
      <c r="F205" s="693"/>
      <c r="G205" s="693"/>
      <c r="H205" s="693"/>
      <c r="I205" s="693"/>
      <c r="J205" s="693"/>
      <c r="K205" s="693"/>
      <c r="L205" s="693"/>
      <c r="M205" s="693"/>
      <c r="N205" s="693"/>
      <c r="O205" s="693"/>
      <c r="P205" s="693"/>
      <c r="Q205" s="693"/>
      <c r="R205" s="693"/>
      <c r="S205" s="693"/>
      <c r="T205" s="693"/>
      <c r="U205" s="693"/>
      <c r="V205" s="693"/>
      <c r="W205" s="693"/>
      <c r="X205" s="693"/>
      <c r="Y205" s="693"/>
      <c r="Z205" s="693"/>
    </row>
    <row r="206" ht="15.75" customHeight="1">
      <c r="A206" s="693"/>
      <c r="B206" s="693"/>
      <c r="C206" s="693"/>
      <c r="D206" s="693"/>
      <c r="E206" s="693"/>
      <c r="F206" s="693"/>
      <c r="G206" s="693"/>
      <c r="H206" s="693"/>
      <c r="I206" s="693"/>
      <c r="J206" s="693"/>
      <c r="K206" s="693"/>
      <c r="L206" s="693"/>
      <c r="M206" s="693"/>
      <c r="N206" s="693"/>
      <c r="O206" s="693"/>
      <c r="P206" s="693"/>
      <c r="Q206" s="693"/>
      <c r="R206" s="693"/>
      <c r="S206" s="693"/>
      <c r="T206" s="693"/>
      <c r="U206" s="693"/>
      <c r="V206" s="693"/>
      <c r="W206" s="693"/>
      <c r="X206" s="693"/>
      <c r="Y206" s="693"/>
      <c r="Z206" s="693"/>
    </row>
    <row r="207" ht="15.75" customHeight="1">
      <c r="A207" s="693"/>
      <c r="B207" s="693"/>
      <c r="C207" s="693"/>
      <c r="D207" s="693"/>
      <c r="E207" s="693"/>
      <c r="F207" s="693"/>
      <c r="G207" s="693"/>
      <c r="H207" s="693"/>
      <c r="I207" s="693"/>
      <c r="J207" s="693"/>
      <c r="K207" s="693"/>
      <c r="L207" s="693"/>
      <c r="M207" s="693"/>
      <c r="N207" s="693"/>
      <c r="O207" s="693"/>
      <c r="P207" s="693"/>
      <c r="Q207" s="693"/>
      <c r="R207" s="693"/>
      <c r="S207" s="693"/>
      <c r="T207" s="693"/>
      <c r="U207" s="693"/>
      <c r="V207" s="693"/>
      <c r="W207" s="693"/>
      <c r="X207" s="693"/>
      <c r="Y207" s="693"/>
      <c r="Z207" s="693"/>
    </row>
    <row r="208" ht="15.75" customHeight="1">
      <c r="A208" s="693"/>
      <c r="B208" s="693"/>
      <c r="C208" s="693"/>
      <c r="D208" s="693"/>
      <c r="E208" s="693"/>
      <c r="F208" s="693"/>
      <c r="G208" s="693"/>
      <c r="H208" s="693"/>
      <c r="I208" s="693"/>
      <c r="J208" s="693"/>
      <c r="K208" s="693"/>
      <c r="L208" s="693"/>
      <c r="M208" s="693"/>
      <c r="N208" s="693"/>
      <c r="O208" s="693"/>
      <c r="P208" s="693"/>
      <c r="Q208" s="693"/>
      <c r="R208" s="693"/>
      <c r="S208" s="693"/>
      <c r="T208" s="693"/>
      <c r="U208" s="693"/>
      <c r="V208" s="693"/>
      <c r="W208" s="693"/>
      <c r="X208" s="693"/>
      <c r="Y208" s="693"/>
      <c r="Z208" s="693"/>
    </row>
    <row r="209" ht="15.75" customHeight="1">
      <c r="A209" s="693"/>
      <c r="B209" s="693"/>
      <c r="C209" s="693"/>
      <c r="D209" s="693"/>
      <c r="E209" s="693"/>
      <c r="F209" s="693"/>
      <c r="G209" s="693"/>
      <c r="H209" s="693"/>
      <c r="I209" s="693"/>
      <c r="J209" s="693"/>
      <c r="K209" s="693"/>
      <c r="L209" s="693"/>
      <c r="M209" s="693"/>
      <c r="N209" s="693"/>
      <c r="O209" s="693"/>
      <c r="P209" s="693"/>
      <c r="Q209" s="693"/>
      <c r="R209" s="693"/>
      <c r="S209" s="693"/>
      <c r="T209" s="693"/>
      <c r="U209" s="693"/>
      <c r="V209" s="693"/>
      <c r="W209" s="693"/>
      <c r="X209" s="693"/>
      <c r="Y209" s="693"/>
      <c r="Z209" s="693"/>
    </row>
    <row r="210" ht="15.75" customHeight="1">
      <c r="A210" s="693"/>
      <c r="B210" s="693"/>
      <c r="C210" s="693"/>
      <c r="D210" s="693"/>
      <c r="E210" s="693"/>
      <c r="F210" s="693"/>
      <c r="G210" s="693"/>
      <c r="H210" s="693"/>
      <c r="I210" s="693"/>
      <c r="J210" s="693"/>
      <c r="K210" s="693"/>
      <c r="L210" s="693"/>
      <c r="M210" s="693"/>
      <c r="N210" s="693"/>
      <c r="O210" s="693"/>
      <c r="P210" s="693"/>
      <c r="Q210" s="693"/>
      <c r="R210" s="693"/>
      <c r="S210" s="693"/>
      <c r="T210" s="693"/>
      <c r="U210" s="693"/>
      <c r="V210" s="693"/>
      <c r="W210" s="693"/>
      <c r="X210" s="693"/>
      <c r="Y210" s="693"/>
      <c r="Z210" s="693"/>
    </row>
    <row r="211" ht="15.75" customHeight="1">
      <c r="A211" s="693"/>
      <c r="B211" s="693"/>
      <c r="C211" s="693"/>
      <c r="D211" s="693"/>
      <c r="E211" s="693"/>
      <c r="F211" s="693"/>
      <c r="G211" s="693"/>
      <c r="H211" s="693"/>
      <c r="I211" s="693"/>
      <c r="J211" s="693"/>
      <c r="K211" s="693"/>
      <c r="L211" s="693"/>
      <c r="M211" s="693"/>
      <c r="N211" s="693"/>
      <c r="O211" s="693"/>
      <c r="P211" s="693"/>
      <c r="Q211" s="693"/>
      <c r="R211" s="693"/>
      <c r="S211" s="693"/>
      <c r="T211" s="693"/>
      <c r="U211" s="693"/>
      <c r="V211" s="693"/>
      <c r="W211" s="693"/>
      <c r="X211" s="693"/>
      <c r="Y211" s="693"/>
      <c r="Z211" s="693"/>
    </row>
    <row r="212" ht="15.75" customHeight="1">
      <c r="A212" s="693"/>
      <c r="B212" s="693"/>
      <c r="C212" s="693"/>
      <c r="D212" s="693"/>
      <c r="E212" s="693"/>
      <c r="F212" s="693"/>
      <c r="G212" s="693"/>
      <c r="H212" s="693"/>
      <c r="I212" s="693"/>
      <c r="J212" s="693"/>
      <c r="K212" s="693"/>
      <c r="L212" s="693"/>
      <c r="M212" s="693"/>
      <c r="N212" s="693"/>
      <c r="O212" s="693"/>
      <c r="P212" s="693"/>
      <c r="Q212" s="693"/>
      <c r="R212" s="693"/>
      <c r="S212" s="693"/>
      <c r="T212" s="693"/>
      <c r="U212" s="693"/>
      <c r="V212" s="693"/>
      <c r="W212" s="693"/>
      <c r="X212" s="693"/>
      <c r="Y212" s="693"/>
      <c r="Z212" s="693"/>
    </row>
    <row r="213" ht="15.75" customHeight="1">
      <c r="A213" s="693"/>
      <c r="B213" s="693"/>
      <c r="C213" s="693"/>
      <c r="D213" s="693"/>
      <c r="E213" s="693"/>
      <c r="F213" s="693"/>
      <c r="G213" s="693"/>
      <c r="H213" s="693"/>
      <c r="I213" s="693"/>
      <c r="J213" s="693"/>
      <c r="K213" s="693"/>
      <c r="L213" s="693"/>
      <c r="M213" s="693"/>
      <c r="N213" s="693"/>
      <c r="O213" s="693"/>
      <c r="P213" s="693"/>
      <c r="Q213" s="693"/>
      <c r="R213" s="693"/>
      <c r="S213" s="693"/>
      <c r="T213" s="693"/>
      <c r="U213" s="693"/>
      <c r="V213" s="693"/>
      <c r="W213" s="693"/>
      <c r="X213" s="693"/>
      <c r="Y213" s="693"/>
      <c r="Z213" s="693"/>
    </row>
    <row r="214" ht="15.75" customHeight="1">
      <c r="A214" s="693"/>
      <c r="B214" s="693"/>
      <c r="C214" s="693"/>
      <c r="D214" s="693"/>
      <c r="E214" s="693"/>
      <c r="F214" s="693"/>
      <c r="G214" s="693"/>
      <c r="H214" s="693"/>
      <c r="I214" s="693"/>
      <c r="J214" s="693"/>
      <c r="K214" s="693"/>
      <c r="L214" s="693"/>
      <c r="M214" s="693"/>
      <c r="N214" s="693"/>
      <c r="O214" s="693"/>
      <c r="P214" s="693"/>
      <c r="Q214" s="693"/>
      <c r="R214" s="693"/>
      <c r="S214" s="693"/>
      <c r="T214" s="693"/>
      <c r="U214" s="693"/>
      <c r="V214" s="693"/>
      <c r="W214" s="693"/>
      <c r="X214" s="693"/>
      <c r="Y214" s="693"/>
      <c r="Z214" s="693"/>
    </row>
    <row r="215" ht="15.75" customHeight="1">
      <c r="A215" s="693"/>
      <c r="B215" s="693"/>
      <c r="C215" s="693"/>
      <c r="D215" s="693"/>
      <c r="E215" s="693"/>
      <c r="F215" s="693"/>
      <c r="G215" s="693"/>
      <c r="H215" s="693"/>
      <c r="I215" s="693"/>
      <c r="J215" s="693"/>
      <c r="K215" s="693"/>
      <c r="L215" s="693"/>
      <c r="M215" s="693"/>
      <c r="N215" s="693"/>
      <c r="O215" s="693"/>
      <c r="P215" s="693"/>
      <c r="Q215" s="693"/>
      <c r="R215" s="693"/>
      <c r="S215" s="693"/>
      <c r="T215" s="693"/>
      <c r="U215" s="693"/>
      <c r="V215" s="693"/>
      <c r="W215" s="693"/>
      <c r="X215" s="693"/>
      <c r="Y215" s="693"/>
      <c r="Z215" s="693"/>
    </row>
    <row r="216" ht="15.75" customHeight="1">
      <c r="A216" s="693"/>
      <c r="B216" s="693"/>
      <c r="C216" s="693"/>
      <c r="D216" s="693"/>
      <c r="E216" s="693"/>
      <c r="F216" s="693"/>
      <c r="G216" s="693"/>
      <c r="H216" s="693"/>
      <c r="I216" s="693"/>
      <c r="J216" s="693"/>
      <c r="K216" s="693"/>
      <c r="L216" s="693"/>
      <c r="M216" s="693"/>
      <c r="N216" s="693"/>
      <c r="O216" s="693"/>
      <c r="P216" s="693"/>
      <c r="Q216" s="693"/>
      <c r="R216" s="693"/>
      <c r="S216" s="693"/>
      <c r="T216" s="693"/>
      <c r="U216" s="693"/>
      <c r="V216" s="693"/>
      <c r="W216" s="693"/>
      <c r="X216" s="693"/>
      <c r="Y216" s="693"/>
      <c r="Z216" s="693"/>
    </row>
    <row r="217" ht="15.75" customHeight="1">
      <c r="A217" s="693"/>
      <c r="B217" s="693"/>
      <c r="C217" s="693"/>
      <c r="D217" s="693"/>
      <c r="E217" s="693"/>
      <c r="F217" s="693"/>
      <c r="G217" s="693"/>
      <c r="H217" s="693"/>
      <c r="I217" s="693"/>
      <c r="J217" s="693"/>
      <c r="K217" s="693"/>
      <c r="L217" s="693"/>
      <c r="M217" s="693"/>
      <c r="N217" s="693"/>
      <c r="O217" s="693"/>
      <c r="P217" s="693"/>
      <c r="Q217" s="693"/>
      <c r="R217" s="693"/>
      <c r="S217" s="693"/>
      <c r="T217" s="693"/>
      <c r="U217" s="693"/>
      <c r="V217" s="693"/>
      <c r="W217" s="693"/>
      <c r="X217" s="693"/>
      <c r="Y217" s="693"/>
      <c r="Z217" s="693"/>
    </row>
    <row r="218" ht="15.75" customHeight="1">
      <c r="A218" s="693"/>
      <c r="B218" s="693"/>
      <c r="C218" s="693"/>
      <c r="D218" s="693"/>
      <c r="E218" s="693"/>
      <c r="F218" s="693"/>
      <c r="G218" s="693"/>
      <c r="H218" s="693"/>
      <c r="I218" s="693"/>
      <c r="J218" s="693"/>
      <c r="K218" s="693"/>
      <c r="L218" s="693"/>
      <c r="M218" s="693"/>
      <c r="N218" s="693"/>
      <c r="O218" s="693"/>
      <c r="P218" s="693"/>
      <c r="Q218" s="693"/>
      <c r="R218" s="693"/>
      <c r="S218" s="693"/>
      <c r="T218" s="693"/>
      <c r="U218" s="693"/>
      <c r="V218" s="693"/>
      <c r="W218" s="693"/>
      <c r="X218" s="693"/>
      <c r="Y218" s="693"/>
      <c r="Z218" s="693"/>
    </row>
    <row r="219" ht="15.75" customHeight="1">
      <c r="A219" s="693"/>
      <c r="B219" s="693"/>
      <c r="C219" s="693"/>
      <c r="D219" s="693"/>
      <c r="E219" s="693"/>
      <c r="F219" s="693"/>
      <c r="G219" s="693"/>
      <c r="H219" s="693"/>
      <c r="I219" s="693"/>
      <c r="J219" s="693"/>
      <c r="K219" s="693"/>
      <c r="L219" s="693"/>
      <c r="M219" s="693"/>
      <c r="N219" s="693"/>
      <c r="O219" s="693"/>
      <c r="P219" s="693"/>
      <c r="Q219" s="693"/>
      <c r="R219" s="693"/>
      <c r="S219" s="693"/>
      <c r="T219" s="693"/>
      <c r="U219" s="693"/>
      <c r="V219" s="693"/>
      <c r="W219" s="693"/>
      <c r="X219" s="693"/>
      <c r="Y219" s="693"/>
      <c r="Z219" s="693"/>
    </row>
    <row r="220" ht="15.75" customHeight="1">
      <c r="A220" s="693"/>
      <c r="B220" s="693"/>
      <c r="C220" s="693"/>
      <c r="D220" s="693"/>
      <c r="E220" s="693"/>
      <c r="F220" s="693"/>
      <c r="G220" s="693"/>
      <c r="H220" s="693"/>
      <c r="I220" s="693"/>
      <c r="J220" s="693"/>
      <c r="K220" s="693"/>
      <c r="L220" s="693"/>
      <c r="M220" s="693"/>
      <c r="N220" s="693"/>
      <c r="O220" s="693"/>
      <c r="P220" s="693"/>
      <c r="Q220" s="693"/>
      <c r="R220" s="693"/>
      <c r="S220" s="693"/>
      <c r="T220" s="693"/>
      <c r="U220" s="693"/>
      <c r="V220" s="693"/>
      <c r="W220" s="693"/>
      <c r="X220" s="693"/>
      <c r="Y220" s="693"/>
      <c r="Z220" s="69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